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6442F1EE-E2DC-4B5E-83EC-1090BDC5A898}" xr6:coauthVersionLast="47" xr6:coauthVersionMax="47" xr10:uidLastSave="{00000000-0000-0000-0000-000000000000}"/>
  <bookViews>
    <workbookView xWindow="-108" yWindow="-108" windowWidth="23256" windowHeight="12456" xr2:uid="{430F5E05-F8E5-4D72-914A-86006FE066F8}"/>
  </bookViews>
  <sheets>
    <sheet name="Excel Work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4" i="1" l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3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R3" i="1"/>
  <c r="Z3" i="1" s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3" i="1"/>
  <c r="R4" i="1"/>
  <c r="AB4" i="1" s="1"/>
  <c r="R5" i="1"/>
  <c r="AB5" i="1" s="1"/>
  <c r="R6" i="1"/>
  <c r="X6" i="1" s="1"/>
  <c r="R7" i="1"/>
  <c r="X7" i="1" s="1"/>
  <c r="R8" i="1"/>
  <c r="X8" i="1" s="1"/>
  <c r="R9" i="1"/>
  <c r="Y9" i="1" s="1"/>
  <c r="R10" i="1"/>
  <c r="Y10" i="1" s="1"/>
  <c r="R11" i="1"/>
  <c r="AB11" i="1" s="1"/>
  <c r="R12" i="1"/>
  <c r="Z12" i="1" s="1"/>
  <c r="R13" i="1"/>
  <c r="Z13" i="1" s="1"/>
  <c r="R14" i="1"/>
  <c r="Z14" i="1" s="1"/>
  <c r="R15" i="1"/>
  <c r="Z15" i="1" s="1"/>
  <c r="R16" i="1"/>
  <c r="Z16" i="1" s="1"/>
  <c r="R17" i="1"/>
  <c r="Z17" i="1" s="1"/>
  <c r="R18" i="1"/>
  <c r="Z18" i="1" s="1"/>
  <c r="R19" i="1"/>
  <c r="AB19" i="1" s="1"/>
  <c r="R20" i="1"/>
  <c r="AB20" i="1" s="1"/>
  <c r="R21" i="1"/>
  <c r="AB21" i="1" s="1"/>
  <c r="R22" i="1"/>
  <c r="X22" i="1" s="1"/>
  <c r="R23" i="1"/>
  <c r="X23" i="1" s="1"/>
  <c r="R24" i="1"/>
  <c r="X24" i="1" s="1"/>
  <c r="R25" i="1"/>
  <c r="Y25" i="1" s="1"/>
  <c r="R26" i="1"/>
  <c r="Y26" i="1" s="1"/>
  <c r="R27" i="1"/>
  <c r="AB27" i="1" s="1"/>
  <c r="R28" i="1"/>
  <c r="Z28" i="1" s="1"/>
  <c r="R29" i="1"/>
  <c r="Z29" i="1" s="1"/>
  <c r="R30" i="1"/>
  <c r="Z30" i="1" s="1"/>
  <c r="R31" i="1"/>
  <c r="Z31" i="1" s="1"/>
  <c r="R32" i="1"/>
  <c r="Z32" i="1" s="1"/>
  <c r="R33" i="1"/>
  <c r="Z33" i="1" s="1"/>
  <c r="R34" i="1"/>
  <c r="Z34" i="1" s="1"/>
  <c r="R35" i="1"/>
  <c r="AB35" i="1" s="1"/>
  <c r="R36" i="1"/>
  <c r="AB36" i="1" s="1"/>
  <c r="R37" i="1"/>
  <c r="AB37" i="1" s="1"/>
  <c r="R38" i="1"/>
  <c r="X38" i="1" s="1"/>
  <c r="R39" i="1"/>
  <c r="X39" i="1" s="1"/>
  <c r="R40" i="1"/>
  <c r="X40" i="1" s="1"/>
  <c r="R41" i="1"/>
  <c r="Y41" i="1" s="1"/>
  <c r="R42" i="1"/>
  <c r="Y42" i="1" s="1"/>
  <c r="R43" i="1"/>
  <c r="AB43" i="1" s="1"/>
  <c r="R44" i="1"/>
  <c r="Z44" i="1" s="1"/>
  <c r="R45" i="1"/>
  <c r="Z45" i="1" s="1"/>
  <c r="R46" i="1"/>
  <c r="Z46" i="1" s="1"/>
  <c r="R47" i="1"/>
  <c r="Z47" i="1" s="1"/>
  <c r="R48" i="1"/>
  <c r="Z48" i="1" s="1"/>
  <c r="R49" i="1"/>
  <c r="Z49" i="1" s="1"/>
  <c r="R50" i="1"/>
  <c r="Z50" i="1" s="1"/>
  <c r="R51" i="1"/>
  <c r="AB51" i="1" s="1"/>
  <c r="R52" i="1"/>
  <c r="AB52" i="1" s="1"/>
  <c r="R53" i="1"/>
  <c r="AB53" i="1" s="1"/>
  <c r="R54" i="1"/>
  <c r="X54" i="1" s="1"/>
  <c r="R55" i="1"/>
  <c r="X55" i="1" s="1"/>
  <c r="R56" i="1"/>
  <c r="X56" i="1" s="1"/>
  <c r="R57" i="1"/>
  <c r="Y57" i="1" s="1"/>
  <c r="R58" i="1"/>
  <c r="Y58" i="1" s="1"/>
  <c r="R59" i="1"/>
  <c r="AB59" i="1" s="1"/>
  <c r="R60" i="1"/>
  <c r="Z60" i="1" s="1"/>
  <c r="R61" i="1"/>
  <c r="Z61" i="1" s="1"/>
  <c r="R62" i="1"/>
  <c r="Z62" i="1" s="1"/>
  <c r="R63" i="1"/>
  <c r="Z63" i="1" s="1"/>
  <c r="R64" i="1"/>
  <c r="Z64" i="1" s="1"/>
  <c r="R65" i="1"/>
  <c r="Z65" i="1" s="1"/>
  <c r="R66" i="1"/>
  <c r="Z66" i="1" s="1"/>
  <c r="R67" i="1"/>
  <c r="AB67" i="1" s="1"/>
  <c r="R68" i="1"/>
  <c r="AB68" i="1" s="1"/>
  <c r="R69" i="1"/>
  <c r="AB69" i="1" s="1"/>
  <c r="R70" i="1"/>
  <c r="X70" i="1" s="1"/>
  <c r="R71" i="1"/>
  <c r="X71" i="1" s="1"/>
  <c r="R72" i="1"/>
  <c r="X72" i="1" s="1"/>
  <c r="R73" i="1"/>
  <c r="Y73" i="1" s="1"/>
  <c r="R74" i="1"/>
  <c r="Y74" i="1" s="1"/>
  <c r="R75" i="1"/>
  <c r="AB75" i="1" s="1"/>
  <c r="R76" i="1"/>
  <c r="Z76" i="1" s="1"/>
  <c r="R77" i="1"/>
  <c r="Z77" i="1" s="1"/>
  <c r="R78" i="1"/>
  <c r="Z78" i="1" s="1"/>
  <c r="R79" i="1"/>
  <c r="Z79" i="1" s="1"/>
  <c r="R80" i="1"/>
  <c r="Z80" i="1" s="1"/>
  <c r="R81" i="1"/>
  <c r="Z81" i="1" s="1"/>
  <c r="R82" i="1"/>
  <c r="Z82" i="1" s="1"/>
  <c r="R83" i="1"/>
  <c r="AB83" i="1" s="1"/>
  <c r="R84" i="1"/>
  <c r="AB84" i="1" s="1"/>
  <c r="R85" i="1"/>
  <c r="AB85" i="1" s="1"/>
  <c r="R86" i="1"/>
  <c r="X86" i="1" s="1"/>
  <c r="R87" i="1"/>
  <c r="X87" i="1" s="1"/>
  <c r="R88" i="1"/>
  <c r="X88" i="1" s="1"/>
  <c r="R89" i="1"/>
  <c r="Y89" i="1" s="1"/>
  <c r="R90" i="1"/>
  <c r="Y90" i="1" s="1"/>
  <c r="R91" i="1"/>
  <c r="AB91" i="1" s="1"/>
  <c r="R92" i="1"/>
  <c r="Z92" i="1" s="1"/>
  <c r="R93" i="1"/>
  <c r="Z93" i="1" s="1"/>
  <c r="R94" i="1"/>
  <c r="Z94" i="1" s="1"/>
  <c r="R95" i="1"/>
  <c r="Z95" i="1" s="1"/>
  <c r="R96" i="1"/>
  <c r="Z96" i="1" s="1"/>
  <c r="R97" i="1"/>
  <c r="Z97" i="1" s="1"/>
  <c r="R98" i="1"/>
  <c r="Z98" i="1" s="1"/>
  <c r="R99" i="1"/>
  <c r="AB99" i="1" s="1"/>
  <c r="R100" i="1"/>
  <c r="AB100" i="1" s="1"/>
  <c r="R101" i="1"/>
  <c r="AB101" i="1" s="1"/>
  <c r="R102" i="1"/>
  <c r="X102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H4" i="1" a="1"/>
  <c r="H4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3" i="1" a="1"/>
  <c r="H3" i="1" s="1"/>
  <c r="X34" i="1" l="1"/>
  <c r="Y75" i="1"/>
  <c r="Y11" i="1"/>
  <c r="X85" i="1"/>
  <c r="X82" i="1"/>
  <c r="X33" i="1"/>
  <c r="Y72" i="1"/>
  <c r="Y8" i="1"/>
  <c r="X81" i="1"/>
  <c r="X27" i="1"/>
  <c r="Y68" i="1"/>
  <c r="Y4" i="1"/>
  <c r="X75" i="1"/>
  <c r="AA75" i="1" s="1"/>
  <c r="X26" i="1"/>
  <c r="Y66" i="1"/>
  <c r="AA66" i="1" s="1"/>
  <c r="Z91" i="1"/>
  <c r="X74" i="1"/>
  <c r="X21" i="1"/>
  <c r="Y59" i="1"/>
  <c r="Z75" i="1"/>
  <c r="X69" i="1"/>
  <c r="X18" i="1"/>
  <c r="Y56" i="1"/>
  <c r="Z59" i="1"/>
  <c r="X66" i="1"/>
  <c r="X17" i="1"/>
  <c r="Y52" i="1"/>
  <c r="Z43" i="1"/>
  <c r="X65" i="1"/>
  <c r="X11" i="1"/>
  <c r="AA11" i="1" s="1"/>
  <c r="Y50" i="1"/>
  <c r="Z27" i="1"/>
  <c r="X59" i="1"/>
  <c r="X10" i="1"/>
  <c r="Y43" i="1"/>
  <c r="Z11" i="1"/>
  <c r="X58" i="1"/>
  <c r="X5" i="1"/>
  <c r="Y40" i="1"/>
  <c r="AB98" i="1"/>
  <c r="X53" i="1"/>
  <c r="Y100" i="1"/>
  <c r="Y36" i="1"/>
  <c r="AB82" i="1"/>
  <c r="X101" i="1"/>
  <c r="X50" i="1"/>
  <c r="Y98" i="1"/>
  <c r="Y34" i="1"/>
  <c r="AA34" i="1" s="1"/>
  <c r="AB66" i="1"/>
  <c r="X98" i="1"/>
  <c r="X49" i="1"/>
  <c r="Y91" i="1"/>
  <c r="Y27" i="1"/>
  <c r="AB50" i="1"/>
  <c r="X97" i="1"/>
  <c r="X43" i="1"/>
  <c r="Y88" i="1"/>
  <c r="Y24" i="1"/>
  <c r="AB34" i="1"/>
  <c r="X91" i="1"/>
  <c r="X42" i="1"/>
  <c r="Y84" i="1"/>
  <c r="Y20" i="1"/>
  <c r="AB18" i="1"/>
  <c r="X90" i="1"/>
  <c r="X37" i="1"/>
  <c r="Y82" i="1"/>
  <c r="Y18" i="1"/>
  <c r="AA82" i="1"/>
  <c r="AA18" i="1"/>
  <c r="X100" i="1"/>
  <c r="X84" i="1"/>
  <c r="X68" i="1"/>
  <c r="X52" i="1"/>
  <c r="X36" i="1"/>
  <c r="X20" i="1"/>
  <c r="X4" i="1"/>
  <c r="Y87" i="1"/>
  <c r="Y71" i="1"/>
  <c r="Y55" i="1"/>
  <c r="Y39" i="1"/>
  <c r="Y23" i="1"/>
  <c r="Y7" i="1"/>
  <c r="Z90" i="1"/>
  <c r="Z74" i="1"/>
  <c r="Z58" i="1"/>
  <c r="Z42" i="1"/>
  <c r="Z26" i="1"/>
  <c r="Z10" i="1"/>
  <c r="AB97" i="1"/>
  <c r="AB81" i="1"/>
  <c r="AB65" i="1"/>
  <c r="AB49" i="1"/>
  <c r="AB33" i="1"/>
  <c r="AB17" i="1"/>
  <c r="X99" i="1"/>
  <c r="X83" i="1"/>
  <c r="X67" i="1"/>
  <c r="X51" i="1"/>
  <c r="X35" i="1"/>
  <c r="X19" i="1"/>
  <c r="Y102" i="1"/>
  <c r="Y86" i="1"/>
  <c r="Y70" i="1"/>
  <c r="Y54" i="1"/>
  <c r="Y38" i="1"/>
  <c r="Y22" i="1"/>
  <c r="Y6" i="1"/>
  <c r="Z89" i="1"/>
  <c r="Z73" i="1"/>
  <c r="Z57" i="1"/>
  <c r="Z41" i="1"/>
  <c r="Z25" i="1"/>
  <c r="Z9" i="1"/>
  <c r="AB96" i="1"/>
  <c r="AB80" i="1"/>
  <c r="AB64" i="1"/>
  <c r="AB48" i="1"/>
  <c r="AB32" i="1"/>
  <c r="AB16" i="1"/>
  <c r="Y101" i="1"/>
  <c r="Y85" i="1"/>
  <c r="Y69" i="1"/>
  <c r="Y53" i="1"/>
  <c r="Y37" i="1"/>
  <c r="Y21" i="1"/>
  <c r="Y5" i="1"/>
  <c r="Z88" i="1"/>
  <c r="Z72" i="1"/>
  <c r="AA72" i="1" s="1"/>
  <c r="Z56" i="1"/>
  <c r="Z40" i="1"/>
  <c r="Z24" i="1"/>
  <c r="Z8" i="1"/>
  <c r="AA8" i="1" s="1"/>
  <c r="AB95" i="1"/>
  <c r="AB79" i="1"/>
  <c r="AB63" i="1"/>
  <c r="AB47" i="1"/>
  <c r="AB31" i="1"/>
  <c r="AB15" i="1"/>
  <c r="Z87" i="1"/>
  <c r="Z71" i="1"/>
  <c r="Z55" i="1"/>
  <c r="Z39" i="1"/>
  <c r="Z23" i="1"/>
  <c r="Z7" i="1"/>
  <c r="AB94" i="1"/>
  <c r="AB78" i="1"/>
  <c r="AB62" i="1"/>
  <c r="AB46" i="1"/>
  <c r="AB30" i="1"/>
  <c r="AB14" i="1"/>
  <c r="X96" i="1"/>
  <c r="X80" i="1"/>
  <c r="X64" i="1"/>
  <c r="X48" i="1"/>
  <c r="X32" i="1"/>
  <c r="X16" i="1"/>
  <c r="AA16" i="1" s="1"/>
  <c r="Y99" i="1"/>
  <c r="Y83" i="1"/>
  <c r="Y67" i="1"/>
  <c r="Y51" i="1"/>
  <c r="Y35" i="1"/>
  <c r="Y19" i="1"/>
  <c r="Z102" i="1"/>
  <c r="Z86" i="1"/>
  <c r="Z70" i="1"/>
  <c r="Z54" i="1"/>
  <c r="Z38" i="1"/>
  <c r="Z22" i="1"/>
  <c r="Z6" i="1"/>
  <c r="AB93" i="1"/>
  <c r="AB77" i="1"/>
  <c r="AB61" i="1"/>
  <c r="AB45" i="1"/>
  <c r="AB29" i="1"/>
  <c r="AB13" i="1"/>
  <c r="X95" i="1"/>
  <c r="X79" i="1"/>
  <c r="X63" i="1"/>
  <c r="X47" i="1"/>
  <c r="X31" i="1"/>
  <c r="X15" i="1"/>
  <c r="Z101" i="1"/>
  <c r="Z85" i="1"/>
  <c r="Z69" i="1"/>
  <c r="Z53" i="1"/>
  <c r="Z37" i="1"/>
  <c r="Z21" i="1"/>
  <c r="Z5" i="1"/>
  <c r="AB92" i="1"/>
  <c r="AB76" i="1"/>
  <c r="AB60" i="1"/>
  <c r="AB44" i="1"/>
  <c r="AB28" i="1"/>
  <c r="AB12" i="1"/>
  <c r="X94" i="1"/>
  <c r="X78" i="1"/>
  <c r="X62" i="1"/>
  <c r="X46" i="1"/>
  <c r="X30" i="1"/>
  <c r="X14" i="1"/>
  <c r="Y97" i="1"/>
  <c r="AA97" i="1" s="1"/>
  <c r="Y81" i="1"/>
  <c r="AA81" i="1" s="1"/>
  <c r="Y65" i="1"/>
  <c r="Y49" i="1"/>
  <c r="AA49" i="1" s="1"/>
  <c r="Y33" i="1"/>
  <c r="AA33" i="1" s="1"/>
  <c r="Y17" i="1"/>
  <c r="AA17" i="1" s="1"/>
  <c r="Z100" i="1"/>
  <c r="Z84" i="1"/>
  <c r="Z68" i="1"/>
  <c r="Z52" i="1"/>
  <c r="Z36" i="1"/>
  <c r="Z20" i="1"/>
  <c r="Z4" i="1"/>
  <c r="X93" i="1"/>
  <c r="X77" i="1"/>
  <c r="X61" i="1"/>
  <c r="X45" i="1"/>
  <c r="X29" i="1"/>
  <c r="X13" i="1"/>
  <c r="Y96" i="1"/>
  <c r="Y80" i="1"/>
  <c r="Y64" i="1"/>
  <c r="Y48" i="1"/>
  <c r="Y32" i="1"/>
  <c r="Y16" i="1"/>
  <c r="Z99" i="1"/>
  <c r="Z83" i="1"/>
  <c r="Z67" i="1"/>
  <c r="Z51" i="1"/>
  <c r="Z35" i="1"/>
  <c r="Z19" i="1"/>
  <c r="AB90" i="1"/>
  <c r="AB74" i="1"/>
  <c r="AB58" i="1"/>
  <c r="AB42" i="1"/>
  <c r="AB26" i="1"/>
  <c r="AB10" i="1"/>
  <c r="X92" i="1"/>
  <c r="AA92" i="1" s="1"/>
  <c r="X76" i="1"/>
  <c r="X60" i="1"/>
  <c r="X44" i="1"/>
  <c r="X28" i="1"/>
  <c r="X12" i="1"/>
  <c r="Y95" i="1"/>
  <c r="Y79" i="1"/>
  <c r="Y63" i="1"/>
  <c r="Y47" i="1"/>
  <c r="Y31" i="1"/>
  <c r="Y15" i="1"/>
  <c r="AB89" i="1"/>
  <c r="AB73" i="1"/>
  <c r="AB57" i="1"/>
  <c r="AB41" i="1"/>
  <c r="AB25" i="1"/>
  <c r="AB9" i="1"/>
  <c r="Y94" i="1"/>
  <c r="Y78" i="1"/>
  <c r="Y62" i="1"/>
  <c r="Y46" i="1"/>
  <c r="Y30" i="1"/>
  <c r="Y14" i="1"/>
  <c r="AB88" i="1"/>
  <c r="AB72" i="1"/>
  <c r="AB56" i="1"/>
  <c r="AB40" i="1"/>
  <c r="AB24" i="1"/>
  <c r="AB8" i="1"/>
  <c r="X3" i="1"/>
  <c r="AA3" i="1" s="1"/>
  <c r="Y93" i="1"/>
  <c r="Y77" i="1"/>
  <c r="Y61" i="1"/>
  <c r="Y45" i="1"/>
  <c r="Y29" i="1"/>
  <c r="Y13" i="1"/>
  <c r="AB3" i="1"/>
  <c r="AB87" i="1"/>
  <c r="AB71" i="1"/>
  <c r="AB55" i="1"/>
  <c r="AB39" i="1"/>
  <c r="AB23" i="1"/>
  <c r="AB7" i="1"/>
  <c r="Y3" i="1"/>
  <c r="X89" i="1"/>
  <c r="X73" i="1"/>
  <c r="X57" i="1"/>
  <c r="X41" i="1"/>
  <c r="X25" i="1"/>
  <c r="AA25" i="1" s="1"/>
  <c r="X9" i="1"/>
  <c r="AA9" i="1" s="1"/>
  <c r="Y92" i="1"/>
  <c r="Y76" i="1"/>
  <c r="Y60" i="1"/>
  <c r="Y44" i="1"/>
  <c r="Y28" i="1"/>
  <c r="Y12" i="1"/>
  <c r="AB102" i="1"/>
  <c r="AB86" i="1"/>
  <c r="AB70" i="1"/>
  <c r="AB54" i="1"/>
  <c r="AB38" i="1"/>
  <c r="AB22" i="1"/>
  <c r="AB6" i="1"/>
  <c r="AA32" i="1" l="1"/>
  <c r="AA45" i="1"/>
  <c r="AA78" i="1"/>
  <c r="AA74" i="1"/>
  <c r="AA94" i="1"/>
  <c r="AA90" i="1"/>
  <c r="AA40" i="1"/>
  <c r="AA24" i="1"/>
  <c r="AA58" i="1"/>
  <c r="AA57" i="1"/>
  <c r="AA88" i="1"/>
  <c r="AA21" i="1"/>
  <c r="AA87" i="1"/>
  <c r="AA46" i="1"/>
  <c r="AA86" i="1"/>
  <c r="AA42" i="1"/>
  <c r="AA62" i="1"/>
  <c r="AA6" i="1"/>
  <c r="AA30" i="1"/>
  <c r="AA70" i="1"/>
  <c r="AA26" i="1"/>
  <c r="AA84" i="1"/>
  <c r="AA102" i="1"/>
  <c r="AA43" i="1"/>
  <c r="AA5" i="1"/>
  <c r="AA50" i="1"/>
  <c r="AA7" i="1"/>
  <c r="AA98" i="1"/>
  <c r="AA73" i="1"/>
  <c r="AA41" i="1"/>
  <c r="AA64" i="1"/>
  <c r="AA85" i="1"/>
  <c r="AA38" i="1"/>
  <c r="AA61" i="1"/>
  <c r="AA14" i="1"/>
  <c r="AA80" i="1"/>
  <c r="AA101" i="1"/>
  <c r="AA54" i="1"/>
  <c r="AA10" i="1"/>
  <c r="AA68" i="1"/>
  <c r="AA59" i="1"/>
  <c r="AA91" i="1"/>
  <c r="AA77" i="1"/>
  <c r="AA56" i="1"/>
  <c r="AA23" i="1"/>
  <c r="AA27" i="1"/>
  <c r="AA93" i="1"/>
  <c r="AA39" i="1"/>
  <c r="AA55" i="1"/>
  <c r="AA71" i="1"/>
  <c r="AA53" i="1"/>
  <c r="AA89" i="1"/>
  <c r="AA13" i="1"/>
  <c r="AA65" i="1"/>
  <c r="AA29" i="1"/>
  <c r="AA37" i="1"/>
  <c r="AA48" i="1"/>
  <c r="AA69" i="1"/>
  <c r="AA22" i="1"/>
  <c r="AA36" i="1"/>
  <c r="AA52" i="1"/>
  <c r="AA96" i="1"/>
  <c r="AA100" i="1"/>
  <c r="AA31" i="1"/>
  <c r="AA19" i="1"/>
  <c r="AA12" i="1"/>
  <c r="AA47" i="1"/>
  <c r="AA35" i="1"/>
  <c r="AA51" i="1"/>
  <c r="AA15" i="1"/>
  <c r="AA28" i="1"/>
  <c r="AA63" i="1"/>
  <c r="AA44" i="1"/>
  <c r="AA79" i="1"/>
  <c r="AA67" i="1"/>
  <c r="AA60" i="1"/>
  <c r="AA95" i="1"/>
  <c r="AA83" i="1"/>
  <c r="AA76" i="1"/>
  <c r="AA99" i="1"/>
  <c r="AA4" i="1"/>
  <c r="AA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<sst xmlns="http://schemas.openxmlformats.org/spreadsheetml/2006/main" count="544" uniqueCount="200">
  <si>
    <t>Clipboardhealth</t>
  </si>
  <si>
    <t>Centerlight</t>
  </si>
  <si>
    <t>AMN Healthcare</t>
  </si>
  <si>
    <t>Dhaka</t>
  </si>
  <si>
    <t>Chattogram</t>
  </si>
  <si>
    <t>Gazipur</t>
  </si>
  <si>
    <t>Narayanganj</t>
  </si>
  <si>
    <t>Khulna</t>
  </si>
  <si>
    <t>Rajshahi</t>
  </si>
  <si>
    <t>Sylhet</t>
  </si>
  <si>
    <t>Barishal</t>
  </si>
  <si>
    <t>Rangpur</t>
  </si>
  <si>
    <t>Mymensingh</t>
  </si>
  <si>
    <t>Cumilla</t>
  </si>
  <si>
    <t>Bogura</t>
  </si>
  <si>
    <t>Cox's Bazar</t>
  </si>
  <si>
    <t>Jessore</t>
  </si>
  <si>
    <t>Narsingdi</t>
  </si>
  <si>
    <t>Feni</t>
  </si>
  <si>
    <t>Famous Cities in Dhaka</t>
  </si>
  <si>
    <t>Serial</t>
  </si>
  <si>
    <t>Country Name</t>
  </si>
  <si>
    <t>Major City Name</t>
  </si>
  <si>
    <t>Bangladesh</t>
  </si>
  <si>
    <t>India</t>
  </si>
  <si>
    <t>Mumbai</t>
  </si>
  <si>
    <t>Pakistan</t>
  </si>
  <si>
    <t>Karachi</t>
  </si>
  <si>
    <t>United States</t>
  </si>
  <si>
    <t>New York</t>
  </si>
  <si>
    <t>United Kingdom</t>
  </si>
  <si>
    <t>London</t>
  </si>
  <si>
    <t>Canada</t>
  </si>
  <si>
    <t>Toronto</t>
  </si>
  <si>
    <t>Australia</t>
  </si>
  <si>
    <t>Sydney</t>
  </si>
  <si>
    <t>Germany</t>
  </si>
  <si>
    <t>Berlin</t>
  </si>
  <si>
    <t>France</t>
  </si>
  <si>
    <t>Paris</t>
  </si>
  <si>
    <t>Italy</t>
  </si>
  <si>
    <t>Rome</t>
  </si>
  <si>
    <t>Spain</t>
  </si>
  <si>
    <t>Madrid</t>
  </si>
  <si>
    <t>Japan</t>
  </si>
  <si>
    <t>Tokyo</t>
  </si>
  <si>
    <t>China</t>
  </si>
  <si>
    <t>Beijing</t>
  </si>
  <si>
    <t>South Korea</t>
  </si>
  <si>
    <t>Seoul</t>
  </si>
  <si>
    <t>Singapore</t>
  </si>
  <si>
    <t>Thailand</t>
  </si>
  <si>
    <t>Bangkok</t>
  </si>
  <si>
    <t>Malaysia</t>
  </si>
  <si>
    <t>Kuala Lumpur</t>
  </si>
  <si>
    <t>Indonesia</t>
  </si>
  <si>
    <t>Jakarta</t>
  </si>
  <si>
    <t>Philippines</t>
  </si>
  <si>
    <t>Manila</t>
  </si>
  <si>
    <t>Vietnam</t>
  </si>
  <si>
    <t>Hanoi</t>
  </si>
  <si>
    <t>Saudi Arabia</t>
  </si>
  <si>
    <t>Riyadh</t>
  </si>
  <si>
    <t>United Arab Emirates</t>
  </si>
  <si>
    <t>Dubai</t>
  </si>
  <si>
    <t>Qatar</t>
  </si>
  <si>
    <t>Doha</t>
  </si>
  <si>
    <t>Kuwait</t>
  </si>
  <si>
    <t>Kuwait City</t>
  </si>
  <si>
    <t>Oman</t>
  </si>
  <si>
    <t>Muscat</t>
  </si>
  <si>
    <t>Turkey</t>
  </si>
  <si>
    <t>Istanbul</t>
  </si>
  <si>
    <t>Russia</t>
  </si>
  <si>
    <t>Moscow</t>
  </si>
  <si>
    <t>Ukraine</t>
  </si>
  <si>
    <t>Kyiv</t>
  </si>
  <si>
    <t>Romania</t>
  </si>
  <si>
    <t>Bucharest</t>
  </si>
  <si>
    <t>Portugal</t>
  </si>
  <si>
    <t>Lisbon</t>
  </si>
  <si>
    <t>Amount</t>
  </si>
  <si>
    <t>Currency with Amount</t>
  </si>
  <si>
    <t>Deposit Amount</t>
  </si>
  <si>
    <t>Adminission Date</t>
  </si>
  <si>
    <t>Numbering Formats in Excel</t>
  </si>
  <si>
    <t>Markiplier</t>
  </si>
  <si>
    <t>Brazil</t>
  </si>
  <si>
    <t>Music</t>
  </si>
  <si>
    <t>40m</t>
  </si>
  <si>
    <t xml:space="preserve">Round2hell  </t>
  </si>
  <si>
    <t xml:space="preserve">India </t>
  </si>
  <si>
    <t>Gaming</t>
  </si>
  <si>
    <t>300K</t>
  </si>
  <si>
    <t>ZEE MUSIC COMPANY</t>
  </si>
  <si>
    <t>Mexico</t>
  </si>
  <si>
    <t>Comedy</t>
  </si>
  <si>
    <t>10M</t>
  </si>
  <si>
    <t xml:space="preserve">MrBeast  </t>
  </si>
  <si>
    <t>25 M</t>
  </si>
  <si>
    <t>CANAL KONDZILLA</t>
  </si>
  <si>
    <t>Triggered Insaan</t>
  </si>
  <si>
    <t xml:space="preserve"> united kingdom</t>
  </si>
  <si>
    <t>Kids</t>
  </si>
  <si>
    <t xml:space="preserve">100M </t>
  </si>
  <si>
    <t>Technical Guruji</t>
  </si>
  <si>
    <t>MySmartPrice</t>
  </si>
  <si>
    <t>Sweden</t>
  </si>
  <si>
    <t>Education</t>
  </si>
  <si>
    <t>75M</t>
  </si>
  <si>
    <t>ID</t>
  </si>
  <si>
    <t>Name of YouTube Channel</t>
  </si>
  <si>
    <t>Country</t>
  </si>
  <si>
    <t>Category</t>
  </si>
  <si>
    <t>Subscribers</t>
  </si>
  <si>
    <t>sourav joshi vlogs</t>
  </si>
  <si>
    <t xml:space="preserve"> United States </t>
  </si>
  <si>
    <t>1.2B</t>
  </si>
  <si>
    <t xml:space="preserve">Triggered Insaan  </t>
  </si>
  <si>
    <t>Vlogging</t>
  </si>
  <si>
    <t>SONY MUSIC INDIA</t>
  </si>
  <si>
    <t>Sony Music INDIA</t>
  </si>
  <si>
    <t>USA</t>
  </si>
  <si>
    <t>Zee Music company</t>
  </si>
  <si>
    <t>5 million</t>
  </si>
  <si>
    <t xml:space="preserve">facttechz  </t>
  </si>
  <si>
    <t>Technology</t>
  </si>
  <si>
    <t>T-serIES</t>
  </si>
  <si>
    <t xml:space="preserve">Technical Guruji  </t>
  </si>
  <si>
    <t xml:space="preserve"> SET INDIA </t>
  </si>
  <si>
    <t>kids Diana Show</t>
  </si>
  <si>
    <t>News</t>
  </si>
  <si>
    <t xml:space="preserve">t-series  </t>
  </si>
  <si>
    <t>Canal Kondzilla</t>
  </si>
  <si>
    <t xml:space="preserve"> SET India </t>
  </si>
  <si>
    <t>bb ki vines</t>
  </si>
  <si>
    <t>Entertainment</t>
  </si>
  <si>
    <t xml:space="preserve">badabun  </t>
  </si>
  <si>
    <t>900 k</t>
  </si>
  <si>
    <t>FACTTECHZ</t>
  </si>
  <si>
    <t>Aaj Tak</t>
  </si>
  <si>
    <t>VanossGaming</t>
  </si>
  <si>
    <t>coComelon - Nursery rhymes</t>
  </si>
  <si>
    <t>Total Gaming</t>
  </si>
  <si>
    <t>Dude Perfect</t>
  </si>
  <si>
    <t>Tech Burner</t>
  </si>
  <si>
    <t xml:space="preserve">kids diana show  </t>
  </si>
  <si>
    <t>sony music india</t>
  </si>
  <si>
    <t>Round2hell</t>
  </si>
  <si>
    <t xml:space="preserve">vanossgaming  </t>
  </si>
  <si>
    <t>BB Ki Vines</t>
  </si>
  <si>
    <t>PEWdiePie</t>
  </si>
  <si>
    <t>COCOMELON - NURSERY RHYMES</t>
  </si>
  <si>
    <t>PEWDIEPIE</t>
  </si>
  <si>
    <t>Desi Gamers</t>
  </si>
  <si>
    <t>VANOSSGAMING</t>
  </si>
  <si>
    <t xml:space="preserve">Tech Burner  </t>
  </si>
  <si>
    <t>5-MINUTE CRAFTS</t>
  </si>
  <si>
    <t>Badabun</t>
  </si>
  <si>
    <t>round2hell</t>
  </si>
  <si>
    <t>KIDS DIANA SHOW</t>
  </si>
  <si>
    <t>canal kondzilla</t>
  </si>
  <si>
    <t>desi gamers</t>
  </si>
  <si>
    <t>ASHISH CHANCHLANI VINES</t>
  </si>
  <si>
    <t>mysmartprice</t>
  </si>
  <si>
    <t xml:space="preserve">Desi Gamers  </t>
  </si>
  <si>
    <t xml:space="preserve">Total Gaming  </t>
  </si>
  <si>
    <t>Ashish Chanchlani Vines</t>
  </si>
  <si>
    <t xml:space="preserve">ashish chanchlani vines  </t>
  </si>
  <si>
    <t>total gaming</t>
  </si>
  <si>
    <t>MARKIPLIER</t>
  </si>
  <si>
    <t>Nas Daily</t>
  </si>
  <si>
    <t>carryminati</t>
  </si>
  <si>
    <t>yrf</t>
  </si>
  <si>
    <t>tech burner</t>
  </si>
  <si>
    <t>TRIGGERED INSAAN</t>
  </si>
  <si>
    <t>ROUND2HELL</t>
  </si>
  <si>
    <t>FactTechz</t>
  </si>
  <si>
    <t>mrbeast</t>
  </si>
  <si>
    <t>YRF</t>
  </si>
  <si>
    <t xml:space="preserve">TRIGGERED INSAAN  </t>
  </si>
  <si>
    <t>Uppercase</t>
  </si>
  <si>
    <t>Lowercase</t>
  </si>
  <si>
    <t>Trim</t>
  </si>
  <si>
    <t xml:space="preserve">Proper </t>
  </si>
  <si>
    <t>Length</t>
  </si>
  <si>
    <t>Working on YouTube Channel</t>
  </si>
  <si>
    <t>Text-join</t>
  </si>
  <si>
    <t>Youtube Channel and Country</t>
  </si>
  <si>
    <t>Left</t>
  </si>
  <si>
    <t>Right</t>
  </si>
  <si>
    <t>Mid</t>
  </si>
  <si>
    <t xml:space="preserve">Full Name </t>
  </si>
  <si>
    <t>Search</t>
  </si>
  <si>
    <t>Working on Youtube Channel Name</t>
  </si>
  <si>
    <t>Substitute "A" w "B"</t>
  </si>
  <si>
    <t>Replace "A" w "B"</t>
  </si>
  <si>
    <t>Firstname</t>
  </si>
  <si>
    <t>Lastname</t>
  </si>
  <si>
    <t>Note: I have implemented first name and last name as a dynamic value similar to the production level so that It will fetch First Name and Lastname in a proper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</si>
</sst>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[$-F800]dddd\,\ mmmm\ dd\,\ yyyy"/>
  </numFmts>
  <fonts count="10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0"/>
      <name val="Calibri"/>
      <family val="2"/>
    </font>
    <font>
      <sz val="10"/>
      <color theme="1"/>
      <name val="Arial Unicode MS"/>
    </font>
    <font>
      <b/>
      <i/>
      <sz val="12"/>
      <color theme="2"/>
      <name val="Calibri"/>
      <family val="2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/>
      <top/>
      <bottom style="thick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0" fillId="0" borderId="3" xfId="0" applyBorder="1"/>
    <xf numFmtId="0" fontId="0" fillId="0" borderId="3" xfId="0" applyBorder="1" applyAlignment="1">
      <alignment horizontal="left"/>
    </xf>
    <xf numFmtId="0" fontId="3" fillId="2" borderId="3" xfId="0" applyFont="1" applyFill="1" applyBorder="1"/>
    <xf numFmtId="164" fontId="0" fillId="0" borderId="3" xfId="0" applyNumberFormat="1" applyBorder="1"/>
    <xf numFmtId="44" fontId="0" fillId="0" borderId="3" xfId="0" applyNumberFormat="1" applyBorder="1"/>
    <xf numFmtId="2" fontId="0" fillId="0" borderId="3" xfId="0" applyNumberFormat="1" applyBorder="1"/>
    <xf numFmtId="0" fontId="0" fillId="0" borderId="0" xfId="0" applyAlignment="1">
      <alignment horizontal="left"/>
    </xf>
    <xf numFmtId="2" fontId="0" fillId="0" borderId="0" xfId="0" applyNumberFormat="1"/>
    <xf numFmtId="0" fontId="3" fillId="2" borderId="5" xfId="0" applyFont="1" applyFill="1" applyBorder="1"/>
    <xf numFmtId="165" fontId="0" fillId="0" borderId="3" xfId="0" applyNumberFormat="1" applyBorder="1"/>
    <xf numFmtId="0" fontId="5" fillId="3" borderId="0" xfId="0" applyFont="1" applyFill="1"/>
    <xf numFmtId="0" fontId="6" fillId="2" borderId="3" xfId="0" applyFont="1" applyFill="1" applyBorder="1"/>
    <xf numFmtId="0" fontId="6" fillId="2" borderId="4" xfId="0" applyFont="1" applyFill="1" applyBorder="1"/>
    <xf numFmtId="0" fontId="5" fillId="3" borderId="2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7" fillId="0" borderId="3" xfId="0" applyFont="1" applyBorder="1" applyAlignment="1">
      <alignment vertical="center"/>
    </xf>
    <xf numFmtId="0" fontId="8" fillId="2" borderId="3" xfId="0" applyFont="1" applyFill="1" applyBorder="1"/>
    <xf numFmtId="0" fontId="9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AC3E6-2B98-403A-A14B-250EC4408913}">
  <dimension ref="A1:AF366"/>
  <sheetViews>
    <sheetView tabSelected="1" zoomScaleNormal="100" workbookViewId="0">
      <selection activeCell="AH5" sqref="AH5"/>
    </sheetView>
  </sheetViews>
  <sheetFormatPr defaultRowHeight="14.4"/>
  <cols>
    <col min="1" max="1" width="15.33203125" customWidth="1"/>
    <col min="2" max="2" width="11.6640625" customWidth="1"/>
    <col min="3" max="3" width="15.109375" customWidth="1"/>
    <col min="5" max="5" width="14.5546875" customWidth="1"/>
    <col min="6" max="6" width="16.109375" customWidth="1"/>
    <col min="7" max="7" width="17" customWidth="1"/>
    <col min="8" max="8" width="19.77734375" customWidth="1"/>
    <col min="9" max="9" width="10.44140625" customWidth="1"/>
    <col min="10" max="10" width="25.21875" customWidth="1"/>
    <col min="11" max="11" width="21.33203125" customWidth="1"/>
    <col min="13" max="13" width="5.5546875" customWidth="1"/>
    <col min="14" max="14" width="31.109375" customWidth="1"/>
    <col min="15" max="15" width="16.109375" customWidth="1"/>
    <col min="16" max="16" width="14.109375" customWidth="1"/>
    <col min="17" max="17" width="13.109375" customWidth="1"/>
    <col min="18" max="18" width="22.77734375" customWidth="1"/>
    <col min="19" max="19" width="15.21875" customWidth="1"/>
    <col min="20" max="20" width="23.33203125" customWidth="1"/>
    <col min="21" max="21" width="20.88671875" customWidth="1"/>
    <col min="22" max="22" width="13.109375" customWidth="1"/>
    <col min="23" max="23" width="33.5546875" customWidth="1"/>
    <col min="27" max="27" width="19.5546875" customWidth="1"/>
    <col min="28" max="28" width="8.88671875" customWidth="1"/>
    <col min="29" max="29" width="22.88671875" customWidth="1"/>
    <col min="30" max="30" width="19.6640625" customWidth="1"/>
    <col min="31" max="32" width="18.109375" customWidth="1"/>
  </cols>
  <sheetData>
    <row r="1" spans="1:32" ht="21.6" thickBot="1">
      <c r="A1" s="16" t="s">
        <v>19</v>
      </c>
      <c r="B1" s="16"/>
      <c r="C1" s="16"/>
      <c r="E1" s="17" t="s">
        <v>85</v>
      </c>
      <c r="F1" s="17"/>
      <c r="G1" s="17"/>
      <c r="H1" s="17"/>
      <c r="I1" s="17"/>
      <c r="J1" s="17"/>
      <c r="K1" s="17"/>
      <c r="R1" s="18" t="s">
        <v>186</v>
      </c>
      <c r="S1" s="18"/>
      <c r="T1" s="18"/>
      <c r="U1" s="18"/>
      <c r="V1" s="18"/>
      <c r="W1" s="13" t="s">
        <v>188</v>
      </c>
      <c r="X1" s="18" t="s">
        <v>194</v>
      </c>
      <c r="Y1" s="18"/>
      <c r="Z1" s="18"/>
      <c r="AA1" s="19"/>
      <c r="AB1" s="19"/>
    </row>
    <row r="2" spans="1:32" ht="16.8" thickTop="1" thickBot="1">
      <c r="A2" s="1" t="s">
        <v>0</v>
      </c>
      <c r="B2" s="1" t="s">
        <v>1</v>
      </c>
      <c r="C2" s="1" t="s">
        <v>2</v>
      </c>
      <c r="E2" s="5" t="s">
        <v>20</v>
      </c>
      <c r="F2" s="5" t="s">
        <v>21</v>
      </c>
      <c r="G2" s="5" t="s">
        <v>22</v>
      </c>
      <c r="H2" s="5" t="s">
        <v>82</v>
      </c>
      <c r="I2" s="5" t="s">
        <v>81</v>
      </c>
      <c r="J2" s="11" t="s">
        <v>83</v>
      </c>
      <c r="K2" s="11" t="s">
        <v>84</v>
      </c>
      <c r="M2" s="14" t="s">
        <v>110</v>
      </c>
      <c r="N2" s="14" t="s">
        <v>111</v>
      </c>
      <c r="O2" s="14" t="s">
        <v>112</v>
      </c>
      <c r="P2" s="14" t="s">
        <v>113</v>
      </c>
      <c r="Q2" s="14" t="s">
        <v>114</v>
      </c>
      <c r="R2" s="15" t="s">
        <v>181</v>
      </c>
      <c r="S2" s="15" t="s">
        <v>182</v>
      </c>
      <c r="T2" s="15" t="s">
        <v>183</v>
      </c>
      <c r="U2" s="15" t="s">
        <v>184</v>
      </c>
      <c r="V2" s="15" t="s">
        <v>185</v>
      </c>
      <c r="W2" s="15" t="s">
        <v>187</v>
      </c>
      <c r="X2" s="14" t="s">
        <v>189</v>
      </c>
      <c r="Y2" s="14" t="s">
        <v>190</v>
      </c>
      <c r="Z2" s="14" t="s">
        <v>191</v>
      </c>
      <c r="AA2" s="14" t="s">
        <v>192</v>
      </c>
      <c r="AB2" s="14" t="s">
        <v>193</v>
      </c>
      <c r="AC2" s="14" t="s">
        <v>195</v>
      </c>
      <c r="AD2" s="14" t="s">
        <v>196</v>
      </c>
      <c r="AE2" s="21" t="s">
        <v>197</v>
      </c>
      <c r="AF2" s="21" t="s">
        <v>198</v>
      </c>
    </row>
    <row r="3" spans="1:32" ht="15.6" thickTop="1" thickBot="1">
      <c r="A3" s="2" t="s">
        <v>3</v>
      </c>
      <c r="B3" s="2" t="s">
        <v>3</v>
      </c>
      <c r="C3" s="2" t="s">
        <v>3</v>
      </c>
      <c r="E3" s="4">
        <v>1</v>
      </c>
      <c r="F3" s="6" t="s">
        <v>23</v>
      </c>
      <c r="G3" s="6" t="s">
        <v>3</v>
      </c>
      <c r="H3" s="3" t="str" cm="1">
        <f t="array" ref="H3">_xlfn.XLOOKUP(F3,
{"Bangladesh","India","Pakistan","United States","United Kingdom","Canada","Australia","Germany","France","Italy","Spain","Japan","China","South Korea","Singapore","Thailand","Malaysia","Indonesia","Philippines","Vietnam","Saudi Arabia","United Arab Emirates","Qatar","Kuwait","Oman","Turkey","Russia","Ukraine","Romania","Portugal"},
{"৳","₹","₨","$","£","C$","A$","€","€","€","€","¥","¥","₩","S$","฿","RM","Rp","₱","₫","﷼","AED","QAR","KWD","OMR","₺","₽","₴","lei","€"})
&amp;" "&amp;TEXT(I3,"#,##0.00")</f>
        <v>৳ 1,000.00</v>
      </c>
      <c r="I3" s="8">
        <v>1000</v>
      </c>
      <c r="J3" s="12">
        <v>46156</v>
      </c>
      <c r="K3" s="12">
        <v>46156</v>
      </c>
      <c r="M3" s="3">
        <v>1</v>
      </c>
      <c r="N3" s="3" t="s">
        <v>115</v>
      </c>
      <c r="O3" s="3" t="s">
        <v>116</v>
      </c>
      <c r="P3" s="3" t="s">
        <v>96</v>
      </c>
      <c r="Q3" s="3" t="s">
        <v>117</v>
      </c>
      <c r="R3" s="3" t="str">
        <f>UPPER(N3)</f>
        <v>SOURAV JOSHI VLOGS</v>
      </c>
      <c r="S3" s="3" t="str">
        <f>LOWER(O3)</f>
        <v xml:space="preserve"> united states </v>
      </c>
      <c r="T3" s="3" t="str">
        <f>TRIM(N3)</f>
        <v>sourav joshi vlogs</v>
      </c>
      <c r="U3" s="3" t="str">
        <f>PROPER(TRIM(N3))</f>
        <v>Sourav Joshi Vlogs</v>
      </c>
      <c r="V3" s="3">
        <f>LEN(SUBSTITUTE(TRIM(SUBSTITUTE(N3,CHAR(160)," "))," ",""))</f>
        <v>16</v>
      </c>
      <c r="W3" s="3" t="str">
        <f>(_xlfn.TEXTJOIN(",", TRUE,N3,O3))</f>
        <v xml:space="preserve">sourav joshi vlogs, United States </v>
      </c>
      <c r="X3" s="3" t="str">
        <f>LEFT(R3,6)</f>
        <v>SOURAV</v>
      </c>
      <c r="Y3" s="3" t="str">
        <f>RIGHT(R3,5)</f>
        <v>VLOGS</v>
      </c>
      <c r="Z3" s="3" t="str">
        <f>MID(R3,8,5)</f>
        <v>JOSHI</v>
      </c>
      <c r="AA3" s="3" t="str">
        <f>_xlfn.CONCAT( X3," ", Y3, " ", Z3)</f>
        <v>SOURAV VLOGS JOSHI</v>
      </c>
      <c r="AB3" s="3" t="str">
        <f>"A - "&amp;(LEN(UPPER(R3))-LEN(SUBSTITUTE(UPPER(R3),"A","")))</f>
        <v>A - 1</v>
      </c>
      <c r="AC3" s="3" t="str">
        <f>SUBSTITUTE(N3, "a", "b")</f>
        <v>sourbv joshi vlogs</v>
      </c>
      <c r="AD3" s="3" t="str">
        <f>REPLACE(N3,7,17,"BBBBBB")</f>
        <v>souravBBBBBB</v>
      </c>
      <c r="AE3" s="20" t="str">
        <f>IFERROR(LEFT(N3,FIND("@",SUBSTITUTE(N3," ","@",2))-1),N3)</f>
        <v>sourav joshi</v>
      </c>
      <c r="AF3" s="3" t="str">
        <f>TRIM(RIGHT(SUBSTITUTE(TRIM(N3)," ",REPT(" ",100)),100))</f>
        <v>vlogs</v>
      </c>
    </row>
    <row r="4" spans="1:32" ht="15.6" thickTop="1" thickBot="1">
      <c r="A4" s="2" t="s">
        <v>4</v>
      </c>
      <c r="B4" s="2" t="s">
        <v>4</v>
      </c>
      <c r="C4" s="2" t="s">
        <v>4</v>
      </c>
      <c r="E4" s="4">
        <v>2</v>
      </c>
      <c r="F4" s="7" t="s">
        <v>24</v>
      </c>
      <c r="G4" s="6" t="s">
        <v>25</v>
      </c>
      <c r="H4" s="3" t="str" cm="1">
        <f t="array" ref="H4">_xlfn.XLOOKUP(F4,
{"Bangladesh","India","Pakistan","United States","United Kingdom","Canada","Australia","Germany","France","Italy","Spain","Japan","China","South Korea","Singapore","Thailand","Malaysia","Indonesia","Philippines","Vietnam","Saudi Arabia","United Arab Emirates","Qatar","Kuwait","Oman","Turkey","Russia","Ukraine","Romania","Portugal"},
{"৳","₹","₨","$","£","C$","A$","€","€","€","€","¥","¥","₩","S$","฿","RM","Rp","₱","₫","﷼","AED","QAR","KWD","OMR","₺","₽","₴","lei","€"})
&amp;" "&amp;TEXT(I4,"#,##0.00")</f>
        <v>₹ 1,000.00</v>
      </c>
      <c r="I4" s="8">
        <v>1000</v>
      </c>
      <c r="J4" s="12">
        <v>46157</v>
      </c>
      <c r="K4" s="12">
        <v>46156</v>
      </c>
      <c r="M4" s="3">
        <v>2</v>
      </c>
      <c r="N4" s="3" t="s">
        <v>118</v>
      </c>
      <c r="O4" s="3" t="s">
        <v>44</v>
      </c>
      <c r="P4" s="3" t="s">
        <v>119</v>
      </c>
      <c r="Q4" s="3" t="s">
        <v>99</v>
      </c>
      <c r="R4" s="3" t="str">
        <f t="shared" ref="R4:R67" si="0">UPPER(N4)</f>
        <v xml:space="preserve">TRIGGERED INSAAN  </v>
      </c>
      <c r="S4" s="3" t="str">
        <f t="shared" ref="S4:S67" si="1">LOWER(O4)</f>
        <v>japan</v>
      </c>
      <c r="T4" s="3" t="str">
        <f t="shared" ref="T4:T67" si="2">TRIM(N4)</f>
        <v>Triggered Insaan</v>
      </c>
      <c r="U4" s="3" t="str">
        <f t="shared" ref="U4:U67" si="3">PROPER(TRIM(N4))</f>
        <v>Triggered Insaan</v>
      </c>
      <c r="V4" s="3">
        <f t="shared" ref="V4:V67" si="4">LEN(SUBSTITUTE(TRIM(SUBSTITUTE(N4,CHAR(160)," "))," ",""))</f>
        <v>15</v>
      </c>
      <c r="W4" s="3" t="str">
        <f t="shared" ref="W4:W67" si="5">(_xlfn.TEXTJOIN(",", TRUE,N4,O4))</f>
        <v>Triggered Insaan  ,Japan</v>
      </c>
      <c r="X4" s="3" t="str">
        <f t="shared" ref="X4:X67" si="6">LEFT(R4,6)</f>
        <v>TRIGGE</v>
      </c>
      <c r="Y4" s="3" t="str">
        <f t="shared" ref="Y4:Y67" si="7">RIGHT(R4,5)</f>
        <v xml:space="preserve">AAN  </v>
      </c>
      <c r="Z4" s="3" t="str">
        <f t="shared" ref="Z4:Z67" si="8">MID(R4,8,5)</f>
        <v>ED IN</v>
      </c>
      <c r="AA4" s="3" t="str">
        <f t="shared" ref="AA4:AA67" si="9">_xlfn.CONCAT( X4," ", Y4, " ", Z4)</f>
        <v>TRIGGE AAN   ED IN</v>
      </c>
      <c r="AB4" s="3" t="str">
        <f t="shared" ref="AB4:AB67" si="10">"A - "&amp;(LEN(UPPER(R4))-LEN(SUBSTITUTE(UPPER(R4),"A","")))</f>
        <v>A - 2</v>
      </c>
      <c r="AC4" s="3" t="str">
        <f t="shared" ref="AC4:AC67" si="11">SUBSTITUTE(N4, "a", "b")</f>
        <v xml:space="preserve">Triggered Insbbn  </v>
      </c>
      <c r="AD4" s="3" t="str">
        <f t="shared" ref="AD4:AD67" si="12">REPLACE(N4,7,17,"BBBBBB")</f>
        <v>TriggeBBBBBB</v>
      </c>
      <c r="AE4" s="20" t="str">
        <f t="shared" ref="AE4:AE67" si="13">IFERROR(LEFT(N4,FIND("@",SUBSTITUTE(N4," ","@",2))-1),N4)</f>
        <v>Triggered Insaan</v>
      </c>
      <c r="AF4" s="3" t="str">
        <f t="shared" ref="AF4:AF67" si="14">TRIM(RIGHT(SUBSTITUTE(TRIM(N4)," ",REPT(" ",100)),100))</f>
        <v>Insaan</v>
      </c>
    </row>
    <row r="5" spans="1:32" ht="15.6" thickTop="1" thickBot="1">
      <c r="A5" s="2" t="s">
        <v>5</v>
      </c>
      <c r="B5" s="2" t="s">
        <v>5</v>
      </c>
      <c r="C5" s="2" t="s">
        <v>5</v>
      </c>
      <c r="E5" s="4">
        <v>3</v>
      </c>
      <c r="F5" s="3" t="s">
        <v>26</v>
      </c>
      <c r="G5" s="3" t="s">
        <v>27</v>
      </c>
      <c r="H5" s="3" t="str" cm="1">
        <f t="array" ref="H5">_xlfn.XLOOKUP(F5,
{"Bangladesh","India","Pakistan","United States","United Kingdom","Canada","Australia","Germany","France","Italy","Spain","Japan","China","South Korea","Singapore","Thailand","Malaysia","Indonesia","Philippines","Vietnam","Saudi Arabia","United Arab Emirates","Qatar","Kuwait","Oman","Turkey","Russia","Ukraine","Romania","Portugal"},
{"৳","₹","₨","$","£","C$","A$","€","€","€","€","¥","¥","₩","S$","฿","RM","Rp","₱","₫","﷼","AED","QAR","KWD","OMR","₺","₽","₴","lei","€"})
&amp;" "&amp;TEXT(I5,"#,##0.00")</f>
        <v>₨ 1,000.00</v>
      </c>
      <c r="I5" s="8">
        <v>1000</v>
      </c>
      <c r="J5" s="12">
        <v>46158</v>
      </c>
      <c r="K5" s="12">
        <v>46156</v>
      </c>
      <c r="M5" s="3">
        <v>3</v>
      </c>
      <c r="N5" s="3" t="s">
        <v>120</v>
      </c>
      <c r="O5" s="3" t="s">
        <v>91</v>
      </c>
      <c r="P5" s="3" t="s">
        <v>92</v>
      </c>
      <c r="Q5" s="3" t="s">
        <v>109</v>
      </c>
      <c r="R5" s="3" t="str">
        <f t="shared" si="0"/>
        <v>SONY MUSIC INDIA</v>
      </c>
      <c r="S5" s="3" t="str">
        <f t="shared" si="1"/>
        <v xml:space="preserve">india </v>
      </c>
      <c r="T5" s="3" t="str">
        <f t="shared" si="2"/>
        <v>SONY MUSIC INDIA</v>
      </c>
      <c r="U5" s="3" t="str">
        <f t="shared" si="3"/>
        <v>Sony Music India</v>
      </c>
      <c r="V5" s="3">
        <f t="shared" si="4"/>
        <v>14</v>
      </c>
      <c r="W5" s="3" t="str">
        <f t="shared" si="5"/>
        <v xml:space="preserve">SONY MUSIC INDIA,India </v>
      </c>
      <c r="X5" s="3" t="str">
        <f t="shared" si="6"/>
        <v>SONY M</v>
      </c>
      <c r="Y5" s="3" t="str">
        <f t="shared" si="7"/>
        <v>INDIA</v>
      </c>
      <c r="Z5" s="3" t="str">
        <f t="shared" si="8"/>
        <v>SIC I</v>
      </c>
      <c r="AA5" s="3" t="str">
        <f t="shared" si="9"/>
        <v>SONY M INDIA SIC I</v>
      </c>
      <c r="AB5" s="3" t="str">
        <f t="shared" si="10"/>
        <v>A - 1</v>
      </c>
      <c r="AC5" s="3" t="str">
        <f t="shared" si="11"/>
        <v>SONY MUSIC INDIA</v>
      </c>
      <c r="AD5" s="3" t="str">
        <f t="shared" si="12"/>
        <v>SONY MBBBBBB</v>
      </c>
      <c r="AE5" s="20" t="str">
        <f t="shared" si="13"/>
        <v>SONY MUSIC</v>
      </c>
      <c r="AF5" s="3" t="str">
        <f t="shared" si="14"/>
        <v>INDIA</v>
      </c>
    </row>
    <row r="6" spans="1:32" ht="15.6" thickTop="1" thickBot="1">
      <c r="A6" s="2" t="s">
        <v>6</v>
      </c>
      <c r="B6" s="2" t="s">
        <v>6</v>
      </c>
      <c r="C6" s="2" t="s">
        <v>6</v>
      </c>
      <c r="E6" s="4">
        <v>4</v>
      </c>
      <c r="F6" s="6" t="s">
        <v>28</v>
      </c>
      <c r="G6" s="3" t="s">
        <v>29</v>
      </c>
      <c r="H6" s="3" t="str" cm="1">
        <f t="array" ref="H6">_xlfn.XLOOKUP(F6,
{"Bangladesh","India","Pakistan","United States","United Kingdom","Canada","Australia","Germany","France","Italy","Spain","Japan","China","South Korea","Singapore","Thailand","Malaysia","Indonesia","Philippines","Vietnam","Saudi Arabia","United Arab Emirates","Qatar","Kuwait","Oman","Turkey","Russia","Ukraine","Romania","Portugal"},
{"৳","₹","₨","$","£","C$","A$","€","€","€","€","¥","¥","₩","S$","฿","RM","Rp","₱","₫","﷼","AED","QAR","KWD","OMR","₺","₽","₴","lei","€"})
&amp;" "&amp;TEXT(I6,"#,##0.00")</f>
        <v>$ 1,000.00</v>
      </c>
      <c r="I6" s="8">
        <v>1000</v>
      </c>
      <c r="J6" s="12">
        <v>46159</v>
      </c>
      <c r="K6" s="12">
        <v>46156</v>
      </c>
      <c r="M6" s="3">
        <v>4</v>
      </c>
      <c r="N6" s="3" t="s">
        <v>121</v>
      </c>
      <c r="O6" s="3" t="s">
        <v>122</v>
      </c>
      <c r="P6" s="3" t="s">
        <v>92</v>
      </c>
      <c r="Q6" s="3" t="s">
        <v>117</v>
      </c>
      <c r="R6" s="3" t="str">
        <f t="shared" si="0"/>
        <v>SONY MUSIC INDIA</v>
      </c>
      <c r="S6" s="3" t="str">
        <f t="shared" si="1"/>
        <v>usa</v>
      </c>
      <c r="T6" s="3" t="str">
        <f t="shared" si="2"/>
        <v>Sony Music INDIA</v>
      </c>
      <c r="U6" s="3" t="str">
        <f t="shared" si="3"/>
        <v>Sony Music India</v>
      </c>
      <c r="V6" s="3">
        <f t="shared" si="4"/>
        <v>14</v>
      </c>
      <c r="W6" s="3" t="str">
        <f t="shared" si="5"/>
        <v>Sony Music INDIA,USA</v>
      </c>
      <c r="X6" s="3" t="str">
        <f t="shared" si="6"/>
        <v>SONY M</v>
      </c>
      <c r="Y6" s="3" t="str">
        <f t="shared" si="7"/>
        <v>INDIA</v>
      </c>
      <c r="Z6" s="3" t="str">
        <f t="shared" si="8"/>
        <v>SIC I</v>
      </c>
      <c r="AA6" s="3" t="str">
        <f t="shared" si="9"/>
        <v>SONY M INDIA SIC I</v>
      </c>
      <c r="AB6" s="3" t="str">
        <f t="shared" si="10"/>
        <v>A - 1</v>
      </c>
      <c r="AC6" s="3" t="str">
        <f t="shared" si="11"/>
        <v>Sony Music INDIA</v>
      </c>
      <c r="AD6" s="3" t="str">
        <f t="shared" si="12"/>
        <v>Sony MBBBBBB</v>
      </c>
      <c r="AE6" s="20" t="str">
        <f t="shared" si="13"/>
        <v>Sony Music</v>
      </c>
      <c r="AF6" s="3" t="str">
        <f t="shared" si="14"/>
        <v>INDIA</v>
      </c>
    </row>
    <row r="7" spans="1:32" ht="15.6" thickTop="1" thickBot="1">
      <c r="A7" s="2" t="s">
        <v>7</v>
      </c>
      <c r="B7" s="2" t="s">
        <v>7</v>
      </c>
      <c r="C7" s="2" t="s">
        <v>7</v>
      </c>
      <c r="E7" s="4">
        <v>5</v>
      </c>
      <c r="F7" s="3" t="s">
        <v>30</v>
      </c>
      <c r="G7" s="3" t="s">
        <v>31</v>
      </c>
      <c r="H7" s="3" t="str" cm="1">
        <f t="array" ref="H7">_xlfn.XLOOKUP(F7,
{"Bangladesh","India","Pakistan","United States","United Kingdom","Canada","Australia","Germany","France","Italy","Spain","Japan","China","South Korea","Singapore","Thailand","Malaysia","Indonesia","Philippines","Vietnam","Saudi Arabia","United Arab Emirates","Qatar","Kuwait","Oman","Turkey","Russia","Ukraine","Romania","Portugal"},
{"৳","₹","₨","$","£","C$","A$","€","€","€","€","¥","¥","₩","S$","฿","RM","Rp","₱","₫","﷼","AED","QAR","KWD","OMR","₺","₽","₴","lei","€"})
&amp;" "&amp;TEXT(I7,"#,##0.00")</f>
        <v>£ 1,000.00</v>
      </c>
      <c r="I7" s="8">
        <v>1000</v>
      </c>
      <c r="J7" s="12">
        <v>46160</v>
      </c>
      <c r="K7" s="12">
        <v>46156</v>
      </c>
      <c r="M7" s="3">
        <v>5</v>
      </c>
      <c r="N7" s="3" t="s">
        <v>115</v>
      </c>
      <c r="O7" s="3" t="s">
        <v>32</v>
      </c>
      <c r="P7" s="3" t="s">
        <v>88</v>
      </c>
      <c r="Q7" s="3" t="s">
        <v>99</v>
      </c>
      <c r="R7" s="3" t="str">
        <f t="shared" si="0"/>
        <v>SOURAV JOSHI VLOGS</v>
      </c>
      <c r="S7" s="3" t="str">
        <f t="shared" si="1"/>
        <v>canada</v>
      </c>
      <c r="T7" s="3" t="str">
        <f t="shared" si="2"/>
        <v>sourav joshi vlogs</v>
      </c>
      <c r="U7" s="3" t="str">
        <f t="shared" si="3"/>
        <v>Sourav Joshi Vlogs</v>
      </c>
      <c r="V7" s="3">
        <f t="shared" si="4"/>
        <v>16</v>
      </c>
      <c r="W7" s="3" t="str">
        <f t="shared" si="5"/>
        <v>sourav joshi vlogs,Canada</v>
      </c>
      <c r="X7" s="3" t="str">
        <f t="shared" si="6"/>
        <v>SOURAV</v>
      </c>
      <c r="Y7" s="3" t="str">
        <f t="shared" si="7"/>
        <v>VLOGS</v>
      </c>
      <c r="Z7" s="3" t="str">
        <f t="shared" si="8"/>
        <v>JOSHI</v>
      </c>
      <c r="AA7" s="3" t="str">
        <f t="shared" si="9"/>
        <v>SOURAV VLOGS JOSHI</v>
      </c>
      <c r="AB7" s="3" t="str">
        <f t="shared" si="10"/>
        <v>A - 1</v>
      </c>
      <c r="AC7" s="3" t="str">
        <f t="shared" si="11"/>
        <v>sourbv joshi vlogs</v>
      </c>
      <c r="AD7" s="3" t="str">
        <f t="shared" si="12"/>
        <v>souravBBBBBB</v>
      </c>
      <c r="AE7" s="20" t="str">
        <f t="shared" si="13"/>
        <v>sourav joshi</v>
      </c>
      <c r="AF7" s="3" t="str">
        <f t="shared" si="14"/>
        <v>vlogs</v>
      </c>
    </row>
    <row r="8" spans="1:32" ht="15.6" thickTop="1" thickBot="1">
      <c r="A8" s="2" t="s">
        <v>8</v>
      </c>
      <c r="B8" s="2" t="s">
        <v>8</v>
      </c>
      <c r="C8" s="2" t="s">
        <v>8</v>
      </c>
      <c r="E8" s="4">
        <v>6</v>
      </c>
      <c r="F8" s="3" t="s">
        <v>32</v>
      </c>
      <c r="G8" s="3" t="s">
        <v>33</v>
      </c>
      <c r="H8" s="3" t="str" cm="1">
        <f t="array" ref="H8">_xlfn.XLOOKUP(F8,
{"Bangladesh","India","Pakistan","United States","United Kingdom","Canada","Australia","Germany","France","Italy","Spain","Japan","China","South Korea","Singapore","Thailand","Malaysia","Indonesia","Philippines","Vietnam","Saudi Arabia","United Arab Emirates","Qatar","Kuwait","Oman","Turkey","Russia","Ukraine","Romania","Portugal"},
{"৳","₹","₨","$","£","C$","A$","€","€","€","€","¥","¥","₩","S$","฿","RM","Rp","₱","₫","﷼","AED","QAR","KWD","OMR","₺","₽","₴","lei","€"})
&amp;" "&amp;TEXT(I8,"#,##0.00")</f>
        <v>C$ 1,000.00</v>
      </c>
      <c r="I8" s="8">
        <v>1000</v>
      </c>
      <c r="J8" s="12">
        <v>46161</v>
      </c>
      <c r="K8" s="12">
        <v>46156</v>
      </c>
      <c r="M8" s="3">
        <v>6</v>
      </c>
      <c r="N8" s="3" t="s">
        <v>123</v>
      </c>
      <c r="O8" s="3" t="s">
        <v>95</v>
      </c>
      <c r="P8" s="3" t="s">
        <v>96</v>
      </c>
      <c r="Q8" s="3" t="s">
        <v>124</v>
      </c>
      <c r="R8" s="3" t="str">
        <f t="shared" si="0"/>
        <v>ZEE MUSIC COMPANY</v>
      </c>
      <c r="S8" s="3" t="str">
        <f t="shared" si="1"/>
        <v>mexico</v>
      </c>
      <c r="T8" s="3" t="str">
        <f t="shared" si="2"/>
        <v>Zee Music company</v>
      </c>
      <c r="U8" s="3" t="str">
        <f t="shared" si="3"/>
        <v>Zee Music Company</v>
      </c>
      <c r="V8" s="3">
        <f t="shared" si="4"/>
        <v>15</v>
      </c>
      <c r="W8" s="3" t="str">
        <f t="shared" si="5"/>
        <v>Zee Music company,Mexico</v>
      </c>
      <c r="X8" s="3" t="str">
        <f t="shared" si="6"/>
        <v>ZEE MU</v>
      </c>
      <c r="Y8" s="3" t="str">
        <f t="shared" si="7"/>
        <v>MPANY</v>
      </c>
      <c r="Z8" s="3" t="str">
        <f t="shared" si="8"/>
        <v>IC CO</v>
      </c>
      <c r="AA8" s="3" t="str">
        <f t="shared" si="9"/>
        <v>ZEE MU MPANY IC CO</v>
      </c>
      <c r="AB8" s="3" t="str">
        <f t="shared" si="10"/>
        <v>A - 1</v>
      </c>
      <c r="AC8" s="3" t="str">
        <f t="shared" si="11"/>
        <v>Zee Music compbny</v>
      </c>
      <c r="AD8" s="3" t="str">
        <f t="shared" si="12"/>
        <v>Zee MuBBBBBB</v>
      </c>
      <c r="AE8" s="20" t="str">
        <f t="shared" si="13"/>
        <v>Zee Music</v>
      </c>
      <c r="AF8" s="3" t="str">
        <f t="shared" si="14"/>
        <v>company</v>
      </c>
    </row>
    <row r="9" spans="1:32" ht="15.6" thickTop="1" thickBot="1">
      <c r="A9" s="2" t="s">
        <v>9</v>
      </c>
      <c r="B9" s="2" t="s">
        <v>9</v>
      </c>
      <c r="C9" s="2" t="s">
        <v>9</v>
      </c>
      <c r="E9" s="4">
        <v>7</v>
      </c>
      <c r="F9" s="3" t="s">
        <v>34</v>
      </c>
      <c r="G9" s="3" t="s">
        <v>35</v>
      </c>
      <c r="H9" s="3" t="str" cm="1">
        <f t="array" ref="H9">_xlfn.XLOOKUP(F9,
{"Bangladesh","India","Pakistan","United States","United Kingdom","Canada","Australia","Germany","France","Italy","Spain","Japan","China","South Korea","Singapore","Thailand","Malaysia","Indonesia","Philippines","Vietnam","Saudi Arabia","United Arab Emirates","Qatar","Kuwait","Oman","Turkey","Russia","Ukraine","Romania","Portugal"},
{"৳","₹","₨","$","£","C$","A$","€","€","€","€","¥","¥","₩","S$","฿","RM","Rp","₱","₫","﷼","AED","QAR","KWD","OMR","₺","₽","₴","lei","€"})
&amp;" "&amp;TEXT(I9,"#,##0.00")</f>
        <v>A$ 1,000.00</v>
      </c>
      <c r="I9" s="8">
        <v>1000</v>
      </c>
      <c r="J9" s="12">
        <v>46162</v>
      </c>
      <c r="K9" s="12">
        <v>46156</v>
      </c>
      <c r="M9" s="3">
        <v>7</v>
      </c>
      <c r="N9" s="3" t="s">
        <v>125</v>
      </c>
      <c r="O9" s="3" t="s">
        <v>32</v>
      </c>
      <c r="P9" s="3" t="s">
        <v>126</v>
      </c>
      <c r="Q9" s="3" t="s">
        <v>117</v>
      </c>
      <c r="R9" s="3" t="str">
        <f t="shared" si="0"/>
        <v xml:space="preserve">FACTTECHZ  </v>
      </c>
      <c r="S9" s="3" t="str">
        <f t="shared" si="1"/>
        <v>canada</v>
      </c>
      <c r="T9" s="3" t="str">
        <f t="shared" si="2"/>
        <v>facttechz</v>
      </c>
      <c r="U9" s="3" t="str">
        <f t="shared" si="3"/>
        <v>Facttechz</v>
      </c>
      <c r="V9" s="3">
        <f t="shared" si="4"/>
        <v>9</v>
      </c>
      <c r="W9" s="3" t="str">
        <f t="shared" si="5"/>
        <v>facttechz  ,Canada</v>
      </c>
      <c r="X9" s="3" t="str">
        <f t="shared" si="6"/>
        <v>FACTTE</v>
      </c>
      <c r="Y9" s="3" t="str">
        <f t="shared" si="7"/>
        <v xml:space="preserve">CHZ  </v>
      </c>
      <c r="Z9" s="3" t="str">
        <f t="shared" si="8"/>
        <v xml:space="preserve">HZ  </v>
      </c>
      <c r="AA9" s="3" t="str">
        <f t="shared" si="9"/>
        <v xml:space="preserve">FACTTE CHZ   HZ  </v>
      </c>
      <c r="AB9" s="3" t="str">
        <f t="shared" si="10"/>
        <v>A - 1</v>
      </c>
      <c r="AC9" s="3" t="str">
        <f t="shared" si="11"/>
        <v xml:space="preserve">fbcttechz  </v>
      </c>
      <c r="AD9" s="3" t="str">
        <f t="shared" si="12"/>
        <v>factteBBBBBB</v>
      </c>
      <c r="AE9" s="20" t="str">
        <f t="shared" si="13"/>
        <v xml:space="preserve">facttechz </v>
      </c>
      <c r="AF9" s="3" t="str">
        <f t="shared" si="14"/>
        <v>facttechz</v>
      </c>
    </row>
    <row r="10" spans="1:32" ht="15.6" thickTop="1" thickBot="1">
      <c r="A10" s="2" t="s">
        <v>10</v>
      </c>
      <c r="B10" s="2" t="s">
        <v>10</v>
      </c>
      <c r="C10" s="2" t="s">
        <v>10</v>
      </c>
      <c r="E10" s="4">
        <v>8</v>
      </c>
      <c r="F10" s="3" t="s">
        <v>36</v>
      </c>
      <c r="G10" s="3" t="s">
        <v>37</v>
      </c>
      <c r="H10" s="3" t="str" cm="1">
        <f t="array" ref="H10">_xlfn.XLOOKUP(F10,
{"Bangladesh","India","Pakistan","United States","United Kingdom","Canada","Australia","Germany","France","Italy","Spain","Japan","China","South Korea","Singapore","Thailand","Malaysia","Indonesia","Philippines","Vietnam","Saudi Arabia","United Arab Emirates","Qatar","Kuwait","Oman","Turkey","Russia","Ukraine","Romania","Portugal"},
{"৳","₹","₨","$","£","C$","A$","€","€","€","€","¥","¥","₩","S$","฿","RM","Rp","₱","₫","﷼","AED","QAR","KWD","OMR","₺","₽","₴","lei","€"})
&amp;" "&amp;TEXT(I10,"#,##0.00")</f>
        <v>€ 1,000.00</v>
      </c>
      <c r="I10" s="8">
        <v>1000</v>
      </c>
      <c r="J10" s="12">
        <v>46163</v>
      </c>
      <c r="K10" s="12">
        <v>46156</v>
      </c>
      <c r="M10" s="3">
        <v>8</v>
      </c>
      <c r="N10" s="3" t="s">
        <v>127</v>
      </c>
      <c r="O10" s="3" t="s">
        <v>102</v>
      </c>
      <c r="P10" s="3" t="s">
        <v>88</v>
      </c>
      <c r="Q10" s="3" t="s">
        <v>104</v>
      </c>
      <c r="R10" s="3" t="str">
        <f t="shared" si="0"/>
        <v>T-SERIES</v>
      </c>
      <c r="S10" s="3" t="str">
        <f t="shared" si="1"/>
        <v xml:space="preserve"> united kingdom</v>
      </c>
      <c r="T10" s="3" t="str">
        <f t="shared" si="2"/>
        <v>T-serIES</v>
      </c>
      <c r="U10" s="3" t="str">
        <f t="shared" si="3"/>
        <v>T-Series</v>
      </c>
      <c r="V10" s="3">
        <f t="shared" si="4"/>
        <v>8</v>
      </c>
      <c r="W10" s="3" t="str">
        <f t="shared" si="5"/>
        <v>T-serIES, united kingdom</v>
      </c>
      <c r="X10" s="3" t="str">
        <f t="shared" si="6"/>
        <v>T-SERI</v>
      </c>
      <c r="Y10" s="3" t="str">
        <f t="shared" si="7"/>
        <v>ERIES</v>
      </c>
      <c r="Z10" s="3" t="str">
        <f t="shared" si="8"/>
        <v>S</v>
      </c>
      <c r="AA10" s="3" t="str">
        <f t="shared" si="9"/>
        <v>T-SERI ERIES S</v>
      </c>
      <c r="AB10" s="3" t="str">
        <f t="shared" si="10"/>
        <v>A - 0</v>
      </c>
      <c r="AC10" s="3" t="str">
        <f t="shared" si="11"/>
        <v>T-serIES</v>
      </c>
      <c r="AD10" s="3" t="str">
        <f t="shared" si="12"/>
        <v>T-serIBBBBBB</v>
      </c>
      <c r="AE10" s="20" t="str">
        <f t="shared" si="13"/>
        <v>T-serIES</v>
      </c>
      <c r="AF10" s="3" t="str">
        <f t="shared" si="14"/>
        <v>T-serIES</v>
      </c>
    </row>
    <row r="11" spans="1:32" ht="15.6" thickTop="1" thickBot="1">
      <c r="A11" s="2" t="s">
        <v>11</v>
      </c>
      <c r="B11" s="2" t="s">
        <v>11</v>
      </c>
      <c r="C11" s="2" t="s">
        <v>11</v>
      </c>
      <c r="E11" s="4">
        <v>9</v>
      </c>
      <c r="F11" s="3" t="s">
        <v>38</v>
      </c>
      <c r="G11" s="3" t="s">
        <v>39</v>
      </c>
      <c r="H11" s="3" t="str" cm="1">
        <f t="array" ref="H11">_xlfn.XLOOKUP(F11,
{"Bangladesh","India","Pakistan","United States","United Kingdom","Canada","Australia","Germany","France","Italy","Spain","Japan","China","South Korea","Singapore","Thailand","Malaysia","Indonesia","Philippines","Vietnam","Saudi Arabia","United Arab Emirates","Qatar","Kuwait","Oman","Turkey","Russia","Ukraine","Romania","Portugal"},
{"৳","₹","₨","$","£","C$","A$","€","€","€","€","¥","¥","₩","S$","฿","RM","Rp","₱","₫","﷼","AED","QAR","KWD","OMR","₺","₽","₴","lei","€"})
&amp;" "&amp;TEXT(I11,"#,##0.00")</f>
        <v>€ 1,000.00</v>
      </c>
      <c r="I11" s="8">
        <v>1000</v>
      </c>
      <c r="J11" s="12">
        <v>46164</v>
      </c>
      <c r="K11" s="12">
        <v>46156</v>
      </c>
      <c r="M11" s="3">
        <v>9</v>
      </c>
      <c r="N11" s="3" t="s">
        <v>127</v>
      </c>
      <c r="O11" s="3" t="s">
        <v>44</v>
      </c>
      <c r="P11" s="3" t="s">
        <v>103</v>
      </c>
      <c r="Q11" s="3" t="s">
        <v>104</v>
      </c>
      <c r="R11" s="3" t="str">
        <f t="shared" si="0"/>
        <v>T-SERIES</v>
      </c>
      <c r="S11" s="3" t="str">
        <f t="shared" si="1"/>
        <v>japan</v>
      </c>
      <c r="T11" s="3" t="str">
        <f t="shared" si="2"/>
        <v>T-serIES</v>
      </c>
      <c r="U11" s="3" t="str">
        <f t="shared" si="3"/>
        <v>T-Series</v>
      </c>
      <c r="V11" s="3">
        <f t="shared" si="4"/>
        <v>8</v>
      </c>
      <c r="W11" s="3" t="str">
        <f t="shared" si="5"/>
        <v>T-serIES,Japan</v>
      </c>
      <c r="X11" s="3" t="str">
        <f t="shared" si="6"/>
        <v>T-SERI</v>
      </c>
      <c r="Y11" s="3" t="str">
        <f t="shared" si="7"/>
        <v>ERIES</v>
      </c>
      <c r="Z11" s="3" t="str">
        <f t="shared" si="8"/>
        <v>S</v>
      </c>
      <c r="AA11" s="3" t="str">
        <f t="shared" si="9"/>
        <v>T-SERI ERIES S</v>
      </c>
      <c r="AB11" s="3" t="str">
        <f t="shared" si="10"/>
        <v>A - 0</v>
      </c>
      <c r="AC11" s="3" t="str">
        <f t="shared" si="11"/>
        <v>T-serIES</v>
      </c>
      <c r="AD11" s="3" t="str">
        <f t="shared" si="12"/>
        <v>T-serIBBBBBB</v>
      </c>
      <c r="AE11" s="20" t="str">
        <f t="shared" si="13"/>
        <v>T-serIES</v>
      </c>
      <c r="AF11" s="3" t="str">
        <f t="shared" si="14"/>
        <v>T-serIES</v>
      </c>
    </row>
    <row r="12" spans="1:32" ht="15.6" thickTop="1" thickBot="1">
      <c r="A12" s="2" t="s">
        <v>12</v>
      </c>
      <c r="B12" s="2" t="s">
        <v>12</v>
      </c>
      <c r="C12" s="2" t="s">
        <v>12</v>
      </c>
      <c r="E12" s="4">
        <v>10</v>
      </c>
      <c r="F12" s="3" t="s">
        <v>40</v>
      </c>
      <c r="G12" s="3" t="s">
        <v>41</v>
      </c>
      <c r="H12" s="3" t="str" cm="1">
        <f t="array" ref="H12">_xlfn.XLOOKUP(F12,
{"Bangladesh","India","Pakistan","United States","United Kingdom","Canada","Australia","Germany","France","Italy","Spain","Japan","China","South Korea","Singapore","Thailand","Malaysia","Indonesia","Philippines","Vietnam","Saudi Arabia","United Arab Emirates","Qatar","Kuwait","Oman","Turkey","Russia","Ukraine","Romania","Portugal"},
{"৳","₹","₨","$","£","C$","A$","€","€","€","€","¥","¥","₩","S$","฿","RM","Rp","₱","₫","﷼","AED","QAR","KWD","OMR","₺","₽","₴","lei","€"})
&amp;" "&amp;TEXT(I12,"#,##0.00")</f>
        <v>€ 1,000.00</v>
      </c>
      <c r="I12" s="8">
        <v>1000</v>
      </c>
      <c r="J12" s="12">
        <v>46165</v>
      </c>
      <c r="K12" s="12">
        <v>46156</v>
      </c>
      <c r="M12" s="3">
        <v>10</v>
      </c>
      <c r="N12" s="3" t="s">
        <v>128</v>
      </c>
      <c r="O12" s="3" t="s">
        <v>24</v>
      </c>
      <c r="P12" s="3" t="s">
        <v>96</v>
      </c>
      <c r="Q12" s="3" t="s">
        <v>89</v>
      </c>
      <c r="R12" s="3" t="str">
        <f t="shared" si="0"/>
        <v xml:space="preserve">TECHNICAL GURUJI  </v>
      </c>
      <c r="S12" s="3" t="str">
        <f t="shared" si="1"/>
        <v>india</v>
      </c>
      <c r="T12" s="3" t="str">
        <f t="shared" si="2"/>
        <v>Technical Guruji</v>
      </c>
      <c r="U12" s="3" t="str">
        <f t="shared" si="3"/>
        <v>Technical Guruji</v>
      </c>
      <c r="V12" s="3">
        <f t="shared" si="4"/>
        <v>15</v>
      </c>
      <c r="W12" s="3" t="str">
        <f t="shared" si="5"/>
        <v>Technical Guruji  ,India</v>
      </c>
      <c r="X12" s="3" t="str">
        <f t="shared" si="6"/>
        <v>TECHNI</v>
      </c>
      <c r="Y12" s="3" t="str">
        <f t="shared" si="7"/>
        <v xml:space="preserve">UJI  </v>
      </c>
      <c r="Z12" s="3" t="str">
        <f t="shared" si="8"/>
        <v>AL GU</v>
      </c>
      <c r="AA12" s="3" t="str">
        <f t="shared" si="9"/>
        <v>TECHNI UJI   AL GU</v>
      </c>
      <c r="AB12" s="3" t="str">
        <f t="shared" si="10"/>
        <v>A - 1</v>
      </c>
      <c r="AC12" s="3" t="str">
        <f t="shared" si="11"/>
        <v xml:space="preserve">Technicbl Guruji  </v>
      </c>
      <c r="AD12" s="3" t="str">
        <f t="shared" si="12"/>
        <v>TechniBBBBBB</v>
      </c>
      <c r="AE12" s="20" t="str">
        <f t="shared" si="13"/>
        <v>Technical Guruji</v>
      </c>
      <c r="AF12" s="3" t="str">
        <f t="shared" si="14"/>
        <v>Guruji</v>
      </c>
    </row>
    <row r="13" spans="1:32" ht="15.6" thickTop="1" thickBot="1">
      <c r="A13" s="2" t="s">
        <v>13</v>
      </c>
      <c r="B13" s="2" t="s">
        <v>13</v>
      </c>
      <c r="C13" s="2" t="s">
        <v>13</v>
      </c>
      <c r="E13" s="4">
        <v>11</v>
      </c>
      <c r="F13" s="3" t="s">
        <v>42</v>
      </c>
      <c r="G13" s="3" t="s">
        <v>43</v>
      </c>
      <c r="H13" s="3" t="str" cm="1">
        <f t="array" ref="H13">_xlfn.XLOOKUP(F13,
{"Bangladesh","India","Pakistan","United States","United Kingdom","Canada","Australia","Germany","France","Italy","Spain","Japan","China","South Korea","Singapore","Thailand","Malaysia","Indonesia","Philippines","Vietnam","Saudi Arabia","United Arab Emirates","Qatar","Kuwait","Oman","Turkey","Russia","Ukraine","Romania","Portugal"},
{"৳","₹","₨","$","£","C$","A$","€","€","€","€","¥","¥","₩","S$","฿","RM","Rp","₱","₫","﷼","AED","QAR","KWD","OMR","₺","₽","₴","lei","€"})
&amp;" "&amp;TEXT(I13,"#,##0.00")</f>
        <v>€ 1,000.00</v>
      </c>
      <c r="I13" s="8">
        <v>1000</v>
      </c>
      <c r="J13" s="12">
        <v>46166</v>
      </c>
      <c r="K13" s="12">
        <v>46156</v>
      </c>
      <c r="M13" s="3">
        <v>11</v>
      </c>
      <c r="N13" s="3" t="s">
        <v>129</v>
      </c>
      <c r="O13" s="3" t="s">
        <v>24</v>
      </c>
      <c r="P13" s="3" t="s">
        <v>96</v>
      </c>
      <c r="Q13" s="3" t="s">
        <v>99</v>
      </c>
      <c r="R13" s="3" t="str">
        <f t="shared" si="0"/>
        <v xml:space="preserve"> SET INDIA </v>
      </c>
      <c r="S13" s="3" t="str">
        <f t="shared" si="1"/>
        <v>india</v>
      </c>
      <c r="T13" s="3" t="str">
        <f t="shared" si="2"/>
        <v>SET INDIA</v>
      </c>
      <c r="U13" s="3" t="str">
        <f t="shared" si="3"/>
        <v>Set India</v>
      </c>
      <c r="V13" s="3">
        <f t="shared" si="4"/>
        <v>8</v>
      </c>
      <c r="W13" s="3" t="str">
        <f t="shared" si="5"/>
        <v xml:space="preserve"> SET INDIA ,India</v>
      </c>
      <c r="X13" s="3" t="str">
        <f t="shared" si="6"/>
        <v xml:space="preserve"> SET I</v>
      </c>
      <c r="Y13" s="3" t="str">
        <f t="shared" si="7"/>
        <v xml:space="preserve">NDIA </v>
      </c>
      <c r="Z13" s="3" t="str">
        <f t="shared" si="8"/>
        <v xml:space="preserve">DIA </v>
      </c>
      <c r="AA13" s="3" t="str">
        <f t="shared" si="9"/>
        <v xml:space="preserve"> SET I NDIA  DIA </v>
      </c>
      <c r="AB13" s="3" t="str">
        <f t="shared" si="10"/>
        <v>A - 1</v>
      </c>
      <c r="AC13" s="3" t="str">
        <f t="shared" si="11"/>
        <v xml:space="preserve"> SET INDIA </v>
      </c>
      <c r="AD13" s="3" t="str">
        <f t="shared" si="12"/>
        <v xml:space="preserve"> SET IBBBBBB</v>
      </c>
      <c r="AE13" s="20" t="str">
        <f t="shared" si="13"/>
        <v xml:space="preserve"> SET</v>
      </c>
      <c r="AF13" s="3" t="str">
        <f t="shared" si="14"/>
        <v>INDIA</v>
      </c>
    </row>
    <row r="14" spans="1:32" ht="15.6" thickTop="1" thickBot="1">
      <c r="A14" s="2" t="s">
        <v>14</v>
      </c>
      <c r="B14" s="2" t="s">
        <v>14</v>
      </c>
      <c r="C14" s="2" t="s">
        <v>14</v>
      </c>
      <c r="E14" s="4">
        <v>12</v>
      </c>
      <c r="F14" s="3" t="s">
        <v>44</v>
      </c>
      <c r="G14" s="3" t="s">
        <v>45</v>
      </c>
      <c r="H14" s="3" t="str" cm="1">
        <f t="array" ref="H14">_xlfn.XLOOKUP(F14,
{"Bangladesh","India","Pakistan","United States","United Kingdom","Canada","Australia","Germany","France","Italy","Spain","Japan","China","South Korea","Singapore","Thailand","Malaysia","Indonesia","Philippines","Vietnam","Saudi Arabia","United Arab Emirates","Qatar","Kuwait","Oman","Turkey","Russia","Ukraine","Romania","Portugal"},
{"৳","₹","₨","$","£","C$","A$","€","€","€","€","¥","¥","₩","S$","฿","RM","Rp","₱","₫","﷼","AED","QAR","KWD","OMR","₺","₽","₴","lei","€"})
&amp;" "&amp;TEXT(I14,"#,##0.00")</f>
        <v>¥ 1,000.00</v>
      </c>
      <c r="I14" s="8">
        <v>1000</v>
      </c>
      <c r="J14" s="12">
        <v>46167</v>
      </c>
      <c r="K14" s="12">
        <v>46156</v>
      </c>
      <c r="M14" s="3">
        <v>12</v>
      </c>
      <c r="N14" s="3" t="s">
        <v>130</v>
      </c>
      <c r="O14" s="3" t="s">
        <v>32</v>
      </c>
      <c r="P14" s="3" t="s">
        <v>131</v>
      </c>
      <c r="Q14" s="3" t="s">
        <v>93</v>
      </c>
      <c r="R14" s="3" t="str">
        <f t="shared" si="0"/>
        <v>KIDS DIANA SHOW</v>
      </c>
      <c r="S14" s="3" t="str">
        <f t="shared" si="1"/>
        <v>canada</v>
      </c>
      <c r="T14" s="3" t="str">
        <f t="shared" si="2"/>
        <v>kids Diana Show</v>
      </c>
      <c r="U14" s="3" t="str">
        <f t="shared" si="3"/>
        <v>Kids Diana Show</v>
      </c>
      <c r="V14" s="3">
        <f t="shared" si="4"/>
        <v>13</v>
      </c>
      <c r="W14" s="3" t="str">
        <f t="shared" si="5"/>
        <v>kids Diana Show,Canada</v>
      </c>
      <c r="X14" s="3" t="str">
        <f t="shared" si="6"/>
        <v>KIDS D</v>
      </c>
      <c r="Y14" s="3" t="str">
        <f t="shared" si="7"/>
        <v xml:space="preserve"> SHOW</v>
      </c>
      <c r="Z14" s="3" t="str">
        <f t="shared" si="8"/>
        <v>ANA S</v>
      </c>
      <c r="AA14" s="3" t="str">
        <f t="shared" si="9"/>
        <v>KIDS D  SHOW ANA S</v>
      </c>
      <c r="AB14" s="3" t="str">
        <f t="shared" si="10"/>
        <v>A - 2</v>
      </c>
      <c r="AC14" s="3" t="str">
        <f t="shared" si="11"/>
        <v>kids Dibnb Show</v>
      </c>
      <c r="AD14" s="3" t="str">
        <f t="shared" si="12"/>
        <v>kids DBBBBBB</v>
      </c>
      <c r="AE14" s="20" t="str">
        <f t="shared" si="13"/>
        <v>kids Diana</v>
      </c>
      <c r="AF14" s="3" t="str">
        <f t="shared" si="14"/>
        <v>Show</v>
      </c>
    </row>
    <row r="15" spans="1:32" ht="15.6" thickTop="1" thickBot="1">
      <c r="A15" s="2" t="s">
        <v>15</v>
      </c>
      <c r="B15" s="2" t="s">
        <v>15</v>
      </c>
      <c r="C15" s="2" t="s">
        <v>15</v>
      </c>
      <c r="E15" s="4">
        <v>13</v>
      </c>
      <c r="F15" s="3" t="s">
        <v>46</v>
      </c>
      <c r="G15" s="3" t="s">
        <v>47</v>
      </c>
      <c r="H15" s="3" t="str" cm="1">
        <f t="array" ref="H15">_xlfn.XLOOKUP(F15,
{"Bangladesh","India","Pakistan","United States","United Kingdom","Canada","Australia","Germany","France","Italy","Spain","Japan","China","South Korea","Singapore","Thailand","Malaysia","Indonesia","Philippines","Vietnam","Saudi Arabia","United Arab Emirates","Qatar","Kuwait","Oman","Turkey","Russia","Ukraine","Romania","Portugal"},
{"৳","₹","₨","$","£","C$","A$","€","€","€","€","¥","¥","₩","S$","฿","RM","Rp","₱","₫","﷼","AED","QAR","KWD","OMR","₺","₽","₴","lei","€"})
&amp;" "&amp;TEXT(I15,"#,##0.00")</f>
        <v>¥ 1,000.00</v>
      </c>
      <c r="I15" s="8">
        <v>1000</v>
      </c>
      <c r="J15" s="12">
        <v>46168</v>
      </c>
      <c r="K15" s="12">
        <v>46156</v>
      </c>
      <c r="M15" s="3">
        <v>13</v>
      </c>
      <c r="N15" s="3" t="s">
        <v>132</v>
      </c>
      <c r="O15" s="3" t="s">
        <v>122</v>
      </c>
      <c r="P15" s="3" t="s">
        <v>92</v>
      </c>
      <c r="Q15" s="3" t="s">
        <v>89</v>
      </c>
      <c r="R15" s="3" t="str">
        <f t="shared" si="0"/>
        <v xml:space="preserve">T-SERIES  </v>
      </c>
      <c r="S15" s="3" t="str">
        <f t="shared" si="1"/>
        <v>usa</v>
      </c>
      <c r="T15" s="3" t="str">
        <f t="shared" si="2"/>
        <v>t-series</v>
      </c>
      <c r="U15" s="3" t="str">
        <f t="shared" si="3"/>
        <v>T-Series</v>
      </c>
      <c r="V15" s="3">
        <f t="shared" si="4"/>
        <v>8</v>
      </c>
      <c r="W15" s="3" t="str">
        <f t="shared" si="5"/>
        <v>t-series  ,USA</v>
      </c>
      <c r="X15" s="3" t="str">
        <f t="shared" si="6"/>
        <v>T-SERI</v>
      </c>
      <c r="Y15" s="3" t="str">
        <f t="shared" si="7"/>
        <v xml:space="preserve">IES  </v>
      </c>
      <c r="Z15" s="3" t="str">
        <f t="shared" si="8"/>
        <v xml:space="preserve">S  </v>
      </c>
      <c r="AA15" s="3" t="str">
        <f t="shared" si="9"/>
        <v xml:space="preserve">T-SERI IES   S  </v>
      </c>
      <c r="AB15" s="3" t="str">
        <f t="shared" si="10"/>
        <v>A - 0</v>
      </c>
      <c r="AC15" s="3" t="str">
        <f t="shared" si="11"/>
        <v xml:space="preserve">t-series  </v>
      </c>
      <c r="AD15" s="3" t="str">
        <f t="shared" si="12"/>
        <v>t-seriBBBBBB</v>
      </c>
      <c r="AE15" s="20" t="str">
        <f t="shared" si="13"/>
        <v xml:space="preserve">t-series </v>
      </c>
      <c r="AF15" s="3" t="str">
        <f t="shared" si="14"/>
        <v>t-series</v>
      </c>
    </row>
    <row r="16" spans="1:32" ht="15.6" thickTop="1" thickBot="1">
      <c r="A16" s="2" t="s">
        <v>16</v>
      </c>
      <c r="B16" s="2" t="s">
        <v>16</v>
      </c>
      <c r="C16" s="2" t="s">
        <v>16</v>
      </c>
      <c r="E16" s="4">
        <v>14</v>
      </c>
      <c r="F16" s="3" t="s">
        <v>48</v>
      </c>
      <c r="G16" s="3" t="s">
        <v>49</v>
      </c>
      <c r="H16" s="3" t="str" cm="1">
        <f t="array" ref="H16">_xlfn.XLOOKUP(F16,
{"Bangladesh","India","Pakistan","United States","United Kingdom","Canada","Australia","Germany","France","Italy","Spain","Japan","China","South Korea","Singapore","Thailand","Malaysia","Indonesia","Philippines","Vietnam","Saudi Arabia","United Arab Emirates","Qatar","Kuwait","Oman","Turkey","Russia","Ukraine","Romania","Portugal"},
{"৳","₹","₨","$","£","C$","A$","€","€","€","€","¥","¥","₩","S$","฿","RM","Rp","₱","₫","﷼","AED","QAR","KWD","OMR","₺","₽","₴","lei","€"})
&amp;" "&amp;TEXT(I16,"#,##0.00")</f>
        <v>₩ 1,000.00</v>
      </c>
      <c r="I16" s="8">
        <v>1000</v>
      </c>
      <c r="J16" s="12">
        <v>46169</v>
      </c>
      <c r="K16" s="12">
        <v>46156</v>
      </c>
      <c r="M16" s="3">
        <v>14</v>
      </c>
      <c r="N16" s="3" t="s">
        <v>106</v>
      </c>
      <c r="O16" s="3" t="s">
        <v>44</v>
      </c>
      <c r="P16" s="3" t="s">
        <v>108</v>
      </c>
      <c r="Q16" s="3" t="s">
        <v>99</v>
      </c>
      <c r="R16" s="3" t="str">
        <f t="shared" si="0"/>
        <v>MYSMARTPRICE</v>
      </c>
      <c r="S16" s="3" t="str">
        <f t="shared" si="1"/>
        <v>japan</v>
      </c>
      <c r="T16" s="3" t="str">
        <f t="shared" si="2"/>
        <v>MySmartPrice</v>
      </c>
      <c r="U16" s="3" t="str">
        <f t="shared" si="3"/>
        <v>Mysmartprice</v>
      </c>
      <c r="V16" s="3">
        <f t="shared" si="4"/>
        <v>12</v>
      </c>
      <c r="W16" s="3" t="str">
        <f t="shared" si="5"/>
        <v>MySmartPrice,Japan</v>
      </c>
      <c r="X16" s="3" t="str">
        <f t="shared" si="6"/>
        <v>MYSMAR</v>
      </c>
      <c r="Y16" s="3" t="str">
        <f t="shared" si="7"/>
        <v>PRICE</v>
      </c>
      <c r="Z16" s="3" t="str">
        <f t="shared" si="8"/>
        <v>PRICE</v>
      </c>
      <c r="AA16" s="3" t="str">
        <f t="shared" si="9"/>
        <v>MYSMAR PRICE PRICE</v>
      </c>
      <c r="AB16" s="3" t="str">
        <f t="shared" si="10"/>
        <v>A - 1</v>
      </c>
      <c r="AC16" s="3" t="str">
        <f t="shared" si="11"/>
        <v>MySmbrtPrice</v>
      </c>
      <c r="AD16" s="3" t="str">
        <f t="shared" si="12"/>
        <v>MySmarBBBBBB</v>
      </c>
      <c r="AE16" s="20" t="str">
        <f t="shared" si="13"/>
        <v>MySmartPrice</v>
      </c>
      <c r="AF16" s="3" t="str">
        <f t="shared" si="14"/>
        <v>MySmartPrice</v>
      </c>
    </row>
    <row r="17" spans="1:32" ht="15.6" thickTop="1" thickBot="1">
      <c r="A17" s="2" t="s">
        <v>17</v>
      </c>
      <c r="B17" s="2" t="s">
        <v>17</v>
      </c>
      <c r="C17" s="2" t="s">
        <v>17</v>
      </c>
      <c r="E17" s="4">
        <v>15</v>
      </c>
      <c r="F17" s="3" t="s">
        <v>50</v>
      </c>
      <c r="G17" s="3" t="s">
        <v>50</v>
      </c>
      <c r="H17" s="3" t="str" cm="1">
        <f t="array" ref="H17">_xlfn.XLOOKUP(F17,
{"Bangladesh","India","Pakistan","United States","United Kingdom","Canada","Australia","Germany","France","Italy","Spain","Japan","China","South Korea","Singapore","Thailand","Malaysia","Indonesia","Philippines","Vietnam","Saudi Arabia","United Arab Emirates","Qatar","Kuwait","Oman","Turkey","Russia","Ukraine","Romania","Portugal"},
{"৳","₹","₨","$","£","C$","A$","€","€","€","€","¥","¥","₩","S$","฿","RM","Rp","₱","₫","﷼","AED","QAR","KWD","OMR","₺","₽","₴","lei","€"})
&amp;" "&amp;TEXT(I17,"#,##0.00")</f>
        <v>S$ 1,000.00</v>
      </c>
      <c r="I17" s="8">
        <v>1000</v>
      </c>
      <c r="J17" s="12">
        <v>46170</v>
      </c>
      <c r="K17" s="12">
        <v>46156</v>
      </c>
      <c r="M17" s="3">
        <v>15</v>
      </c>
      <c r="N17" s="3" t="s">
        <v>133</v>
      </c>
      <c r="O17" s="3" t="s">
        <v>91</v>
      </c>
      <c r="P17" s="3" t="s">
        <v>119</v>
      </c>
      <c r="Q17" s="3" t="s">
        <v>109</v>
      </c>
      <c r="R17" s="3" t="str">
        <f t="shared" si="0"/>
        <v>CANAL KONDZILLA</v>
      </c>
      <c r="S17" s="3" t="str">
        <f t="shared" si="1"/>
        <v xml:space="preserve">india </v>
      </c>
      <c r="T17" s="3" t="str">
        <f t="shared" si="2"/>
        <v>Canal Kondzilla</v>
      </c>
      <c r="U17" s="3" t="str">
        <f t="shared" si="3"/>
        <v>Canal Kondzilla</v>
      </c>
      <c r="V17" s="3">
        <f t="shared" si="4"/>
        <v>14</v>
      </c>
      <c r="W17" s="3" t="str">
        <f t="shared" si="5"/>
        <v xml:space="preserve">Canal Kondzilla,India </v>
      </c>
      <c r="X17" s="3" t="str">
        <f t="shared" si="6"/>
        <v xml:space="preserve">CANAL </v>
      </c>
      <c r="Y17" s="3" t="str">
        <f t="shared" si="7"/>
        <v>ZILLA</v>
      </c>
      <c r="Z17" s="3" t="str">
        <f t="shared" si="8"/>
        <v>ONDZI</v>
      </c>
      <c r="AA17" s="3" t="str">
        <f t="shared" si="9"/>
        <v>CANAL  ZILLA ONDZI</v>
      </c>
      <c r="AB17" s="3" t="str">
        <f t="shared" si="10"/>
        <v>A - 3</v>
      </c>
      <c r="AC17" s="3" t="str">
        <f t="shared" si="11"/>
        <v>Cbnbl Kondzillb</v>
      </c>
      <c r="AD17" s="3" t="str">
        <f t="shared" si="12"/>
        <v>Canal BBBBBB</v>
      </c>
      <c r="AE17" s="20" t="str">
        <f t="shared" si="13"/>
        <v>Canal Kondzilla</v>
      </c>
      <c r="AF17" s="3" t="str">
        <f t="shared" si="14"/>
        <v>Kondzilla</v>
      </c>
    </row>
    <row r="18" spans="1:32" ht="15.6" thickTop="1" thickBot="1">
      <c r="A18" s="2" t="s">
        <v>18</v>
      </c>
      <c r="B18" s="2" t="s">
        <v>18</v>
      </c>
      <c r="C18" s="2" t="s">
        <v>18</v>
      </c>
      <c r="E18" s="4">
        <v>16</v>
      </c>
      <c r="F18" s="3" t="s">
        <v>51</v>
      </c>
      <c r="G18" s="3" t="s">
        <v>52</v>
      </c>
      <c r="H18" s="3" t="str" cm="1">
        <f t="array" ref="H18">_xlfn.XLOOKUP(F18,
{"Bangladesh","India","Pakistan","United States","United Kingdom","Canada","Australia","Germany","France","Italy","Spain","Japan","China","South Korea","Singapore","Thailand","Malaysia","Indonesia","Philippines","Vietnam","Saudi Arabia","United Arab Emirates","Qatar","Kuwait","Oman","Turkey","Russia","Ukraine","Romania","Portugal"},
{"৳","₹","₨","$","£","C$","A$","€","€","€","€","¥","¥","₩","S$","฿","RM","Rp","₱","₫","﷼","AED","QAR","KWD","OMR","₺","₽","₴","lei","€"})
&amp;" "&amp;TEXT(I18,"#,##0.00")</f>
        <v>฿ 1,000.00</v>
      </c>
      <c r="I18" s="8">
        <v>1000</v>
      </c>
      <c r="J18" s="12">
        <v>46171</v>
      </c>
      <c r="K18" s="12">
        <v>46156</v>
      </c>
      <c r="M18" s="3">
        <v>16</v>
      </c>
      <c r="N18" s="3" t="s">
        <v>134</v>
      </c>
      <c r="O18" s="3" t="s">
        <v>122</v>
      </c>
      <c r="P18" s="3" t="s">
        <v>88</v>
      </c>
      <c r="Q18" s="3" t="s">
        <v>89</v>
      </c>
      <c r="R18" s="3" t="str">
        <f t="shared" si="0"/>
        <v xml:space="preserve"> SET INDIA </v>
      </c>
      <c r="S18" s="3" t="str">
        <f t="shared" si="1"/>
        <v>usa</v>
      </c>
      <c r="T18" s="3" t="str">
        <f t="shared" si="2"/>
        <v>SET India</v>
      </c>
      <c r="U18" s="3" t="str">
        <f t="shared" si="3"/>
        <v>Set India</v>
      </c>
      <c r="V18" s="3">
        <f t="shared" si="4"/>
        <v>8</v>
      </c>
      <c r="W18" s="3" t="str">
        <f t="shared" si="5"/>
        <v xml:space="preserve"> SET India ,USA</v>
      </c>
      <c r="X18" s="3" t="str">
        <f t="shared" si="6"/>
        <v xml:space="preserve"> SET I</v>
      </c>
      <c r="Y18" s="3" t="str">
        <f t="shared" si="7"/>
        <v xml:space="preserve">NDIA </v>
      </c>
      <c r="Z18" s="3" t="str">
        <f t="shared" si="8"/>
        <v xml:space="preserve">DIA </v>
      </c>
      <c r="AA18" s="3" t="str">
        <f t="shared" si="9"/>
        <v xml:space="preserve"> SET I NDIA  DIA </v>
      </c>
      <c r="AB18" s="3" t="str">
        <f t="shared" si="10"/>
        <v>A - 1</v>
      </c>
      <c r="AC18" s="3" t="str">
        <f t="shared" si="11"/>
        <v xml:space="preserve"> SET Indib </v>
      </c>
      <c r="AD18" s="3" t="str">
        <f t="shared" si="12"/>
        <v xml:space="preserve"> SET IBBBBBB</v>
      </c>
      <c r="AE18" s="20" t="str">
        <f t="shared" si="13"/>
        <v xml:space="preserve"> SET</v>
      </c>
      <c r="AF18" s="3" t="str">
        <f t="shared" si="14"/>
        <v>India</v>
      </c>
    </row>
    <row r="19" spans="1:32" ht="15.6" thickTop="1" thickBot="1">
      <c r="E19" s="4">
        <v>17</v>
      </c>
      <c r="F19" s="3" t="s">
        <v>53</v>
      </c>
      <c r="G19" s="3" t="s">
        <v>54</v>
      </c>
      <c r="H19" s="3" t="str" cm="1">
        <f t="array" ref="H19">_xlfn.XLOOKUP(F19,
{"Bangladesh","India","Pakistan","United States","United Kingdom","Canada","Australia","Germany","France","Italy","Spain","Japan","China","South Korea","Singapore","Thailand","Malaysia","Indonesia","Philippines","Vietnam","Saudi Arabia","United Arab Emirates","Qatar","Kuwait","Oman","Turkey","Russia","Ukraine","Romania","Portugal"},
{"৳","₹","₨","$","£","C$","A$","€","€","€","€","¥","¥","₩","S$","฿","RM","Rp","₱","₫","﷼","AED","QAR","KWD","OMR","₺","₽","₴","lei","€"})
&amp;" "&amp;TEXT(I19,"#,##0.00")</f>
        <v>RM 1,000.00</v>
      </c>
      <c r="I19" s="8">
        <v>1000</v>
      </c>
      <c r="J19" s="12">
        <v>46172</v>
      </c>
      <c r="K19" s="12">
        <v>46156</v>
      </c>
      <c r="M19" s="3">
        <v>17</v>
      </c>
      <c r="N19" s="3" t="s">
        <v>135</v>
      </c>
      <c r="O19" s="3" t="s">
        <v>32</v>
      </c>
      <c r="P19" s="3" t="s">
        <v>136</v>
      </c>
      <c r="Q19" s="3" t="s">
        <v>104</v>
      </c>
      <c r="R19" s="3" t="str">
        <f t="shared" si="0"/>
        <v>BB KI VINES</v>
      </c>
      <c r="S19" s="3" t="str">
        <f t="shared" si="1"/>
        <v>canada</v>
      </c>
      <c r="T19" s="3" t="str">
        <f t="shared" si="2"/>
        <v>bb ki vines</v>
      </c>
      <c r="U19" s="3" t="str">
        <f t="shared" si="3"/>
        <v>Bb Ki Vines</v>
      </c>
      <c r="V19" s="3">
        <f t="shared" si="4"/>
        <v>9</v>
      </c>
      <c r="W19" s="3" t="str">
        <f t="shared" si="5"/>
        <v>bb ki vines,Canada</v>
      </c>
      <c r="X19" s="3" t="str">
        <f t="shared" si="6"/>
        <v xml:space="preserve">BB KI </v>
      </c>
      <c r="Y19" s="3" t="str">
        <f t="shared" si="7"/>
        <v>VINES</v>
      </c>
      <c r="Z19" s="3" t="str">
        <f t="shared" si="8"/>
        <v>INES</v>
      </c>
      <c r="AA19" s="3" t="str">
        <f t="shared" si="9"/>
        <v>BB KI  VINES INES</v>
      </c>
      <c r="AB19" s="3" t="str">
        <f t="shared" si="10"/>
        <v>A - 0</v>
      </c>
      <c r="AC19" s="3" t="str">
        <f t="shared" si="11"/>
        <v>bb ki vines</v>
      </c>
      <c r="AD19" s="3" t="str">
        <f t="shared" si="12"/>
        <v>bb ki BBBBBB</v>
      </c>
      <c r="AE19" s="20" t="str">
        <f t="shared" si="13"/>
        <v>bb ki</v>
      </c>
      <c r="AF19" s="3" t="str">
        <f t="shared" si="14"/>
        <v>vines</v>
      </c>
    </row>
    <row r="20" spans="1:32" ht="15.6" thickTop="1" thickBot="1">
      <c r="E20" s="4">
        <v>18</v>
      </c>
      <c r="F20" s="3" t="s">
        <v>55</v>
      </c>
      <c r="G20" s="3" t="s">
        <v>56</v>
      </c>
      <c r="H20" s="3" t="str" cm="1">
        <f t="array" ref="H20">_xlfn.XLOOKUP(F20,
{"Bangladesh","India","Pakistan","United States","United Kingdom","Canada","Australia","Germany","France","Italy","Spain","Japan","China","South Korea","Singapore","Thailand","Malaysia","Indonesia","Philippines","Vietnam","Saudi Arabia","United Arab Emirates","Qatar","Kuwait","Oman","Turkey","Russia","Ukraine","Romania","Portugal"},
{"৳","₹","₨","$","£","C$","A$","€","€","€","€","¥","¥","₩","S$","฿","RM","Rp","₱","₫","﷼","AED","QAR","KWD","OMR","₺","₽","₴","lei","€"})
&amp;" "&amp;TEXT(I20,"#,##0.00")</f>
        <v>Rp 1,000.00</v>
      </c>
      <c r="I20" s="8">
        <v>1000</v>
      </c>
      <c r="J20" s="12">
        <v>46173</v>
      </c>
      <c r="K20" s="12">
        <v>46156</v>
      </c>
      <c r="M20" s="3">
        <v>18</v>
      </c>
      <c r="N20" s="3" t="s">
        <v>137</v>
      </c>
      <c r="O20" s="3" t="s">
        <v>32</v>
      </c>
      <c r="P20" s="3" t="s">
        <v>88</v>
      </c>
      <c r="Q20" s="3" t="s">
        <v>138</v>
      </c>
      <c r="R20" s="3" t="str">
        <f t="shared" si="0"/>
        <v xml:space="preserve">BADABUN  </v>
      </c>
      <c r="S20" s="3" t="str">
        <f t="shared" si="1"/>
        <v>canada</v>
      </c>
      <c r="T20" s="3" t="str">
        <f t="shared" si="2"/>
        <v>badabun</v>
      </c>
      <c r="U20" s="3" t="str">
        <f t="shared" si="3"/>
        <v>Badabun</v>
      </c>
      <c r="V20" s="3">
        <f t="shared" si="4"/>
        <v>7</v>
      </c>
      <c r="W20" s="3" t="str">
        <f t="shared" si="5"/>
        <v>badabun  ,Canada</v>
      </c>
      <c r="X20" s="3" t="str">
        <f t="shared" si="6"/>
        <v>BADABU</v>
      </c>
      <c r="Y20" s="3" t="str">
        <f t="shared" si="7"/>
        <v xml:space="preserve">BUN  </v>
      </c>
      <c r="Z20" s="3" t="str">
        <f t="shared" si="8"/>
        <v xml:space="preserve">  </v>
      </c>
      <c r="AA20" s="3" t="str">
        <f t="shared" si="9"/>
        <v xml:space="preserve">BADABU BUN     </v>
      </c>
      <c r="AB20" s="3" t="str">
        <f t="shared" si="10"/>
        <v>A - 2</v>
      </c>
      <c r="AC20" s="3" t="str">
        <f t="shared" si="11"/>
        <v xml:space="preserve">bbdbbun  </v>
      </c>
      <c r="AD20" s="3" t="str">
        <f t="shared" si="12"/>
        <v>badabuBBBBBB</v>
      </c>
      <c r="AE20" s="20" t="str">
        <f t="shared" si="13"/>
        <v xml:space="preserve">badabun </v>
      </c>
      <c r="AF20" s="3" t="str">
        <f t="shared" si="14"/>
        <v>badabun</v>
      </c>
    </row>
    <row r="21" spans="1:32" ht="15.6" thickTop="1" thickBot="1">
      <c r="E21" s="4">
        <v>19</v>
      </c>
      <c r="F21" s="3" t="s">
        <v>57</v>
      </c>
      <c r="G21" s="3" t="s">
        <v>58</v>
      </c>
      <c r="H21" s="3" t="str" cm="1">
        <f t="array" ref="H21">_xlfn.XLOOKUP(F21,
{"Bangladesh","India","Pakistan","United States","United Kingdom","Canada","Australia","Germany","France","Italy","Spain","Japan","China","South Korea","Singapore","Thailand","Malaysia","Indonesia","Philippines","Vietnam","Saudi Arabia","United Arab Emirates","Qatar","Kuwait","Oman","Turkey","Russia","Ukraine","Romania","Portugal"},
{"৳","₹","₨","$","£","C$","A$","€","€","€","€","¥","¥","₩","S$","฿","RM","Rp","₱","₫","﷼","AED","QAR","KWD","OMR","₺","₽","₴","lei","€"})
&amp;" "&amp;TEXT(I21,"#,##0.00")</f>
        <v>₱ 1,000.00</v>
      </c>
      <c r="I21" s="8">
        <v>1000</v>
      </c>
      <c r="J21" s="12">
        <v>46174</v>
      </c>
      <c r="K21" s="12">
        <v>46156</v>
      </c>
      <c r="M21" s="3">
        <v>19</v>
      </c>
      <c r="N21" s="3" t="s">
        <v>120</v>
      </c>
      <c r="O21" s="3" t="s">
        <v>107</v>
      </c>
      <c r="P21" s="3" t="s">
        <v>136</v>
      </c>
      <c r="Q21" s="3" t="s">
        <v>138</v>
      </c>
      <c r="R21" s="3" t="str">
        <f t="shared" si="0"/>
        <v>SONY MUSIC INDIA</v>
      </c>
      <c r="S21" s="3" t="str">
        <f t="shared" si="1"/>
        <v>sweden</v>
      </c>
      <c r="T21" s="3" t="str">
        <f t="shared" si="2"/>
        <v>SONY MUSIC INDIA</v>
      </c>
      <c r="U21" s="3" t="str">
        <f t="shared" si="3"/>
        <v>Sony Music India</v>
      </c>
      <c r="V21" s="3">
        <f t="shared" si="4"/>
        <v>14</v>
      </c>
      <c r="W21" s="3" t="str">
        <f t="shared" si="5"/>
        <v>SONY MUSIC INDIA,Sweden</v>
      </c>
      <c r="X21" s="3" t="str">
        <f t="shared" si="6"/>
        <v>SONY M</v>
      </c>
      <c r="Y21" s="3" t="str">
        <f t="shared" si="7"/>
        <v>INDIA</v>
      </c>
      <c r="Z21" s="3" t="str">
        <f t="shared" si="8"/>
        <v>SIC I</v>
      </c>
      <c r="AA21" s="3" t="str">
        <f t="shared" si="9"/>
        <v>SONY M INDIA SIC I</v>
      </c>
      <c r="AB21" s="3" t="str">
        <f t="shared" si="10"/>
        <v>A - 1</v>
      </c>
      <c r="AC21" s="3" t="str">
        <f t="shared" si="11"/>
        <v>SONY MUSIC INDIA</v>
      </c>
      <c r="AD21" s="3" t="str">
        <f t="shared" si="12"/>
        <v>SONY MBBBBBB</v>
      </c>
      <c r="AE21" s="20" t="str">
        <f t="shared" si="13"/>
        <v>SONY MUSIC</v>
      </c>
      <c r="AF21" s="3" t="str">
        <f t="shared" si="14"/>
        <v>INDIA</v>
      </c>
    </row>
    <row r="22" spans="1:32" ht="15.6" thickTop="1" thickBot="1">
      <c r="E22" s="4">
        <v>20</v>
      </c>
      <c r="F22" s="3" t="s">
        <v>59</v>
      </c>
      <c r="G22" s="3" t="s">
        <v>60</v>
      </c>
      <c r="H22" s="3" t="str" cm="1">
        <f t="array" ref="H22">_xlfn.XLOOKUP(F22,
{"Bangladesh","India","Pakistan","United States","United Kingdom","Canada","Australia","Germany","France","Italy","Spain","Japan","China","South Korea","Singapore","Thailand","Malaysia","Indonesia","Philippines","Vietnam","Saudi Arabia","United Arab Emirates","Qatar","Kuwait","Oman","Turkey","Russia","Ukraine","Romania","Portugal"},
{"৳","₹","₨","$","£","C$","A$","€","€","€","€","¥","¥","₩","S$","฿","RM","Rp","₱","₫","﷼","AED","QAR","KWD","OMR","₺","₽","₴","lei","€"})
&amp;" "&amp;TEXT(I22,"#,##0.00")</f>
        <v>₫ 1,000.00</v>
      </c>
      <c r="I22" s="8">
        <v>1000</v>
      </c>
      <c r="J22" s="12">
        <v>46175</v>
      </c>
      <c r="K22" s="12">
        <v>46156</v>
      </c>
      <c r="M22" s="3">
        <v>20</v>
      </c>
      <c r="N22" s="3" t="s">
        <v>105</v>
      </c>
      <c r="O22" s="3" t="s">
        <v>32</v>
      </c>
      <c r="P22" s="3" t="s">
        <v>103</v>
      </c>
      <c r="Q22" s="3" t="s">
        <v>104</v>
      </c>
      <c r="R22" s="3" t="str">
        <f t="shared" si="0"/>
        <v>TECHNICAL GURUJI</v>
      </c>
      <c r="S22" s="3" t="str">
        <f t="shared" si="1"/>
        <v>canada</v>
      </c>
      <c r="T22" s="3" t="str">
        <f t="shared" si="2"/>
        <v>Technical Guruji</v>
      </c>
      <c r="U22" s="3" t="str">
        <f t="shared" si="3"/>
        <v>Technical Guruji</v>
      </c>
      <c r="V22" s="3">
        <f t="shared" si="4"/>
        <v>15</v>
      </c>
      <c r="W22" s="3" t="str">
        <f t="shared" si="5"/>
        <v>Technical Guruji,Canada</v>
      </c>
      <c r="X22" s="3" t="str">
        <f t="shared" si="6"/>
        <v>TECHNI</v>
      </c>
      <c r="Y22" s="3" t="str">
        <f t="shared" si="7"/>
        <v>URUJI</v>
      </c>
      <c r="Z22" s="3" t="str">
        <f t="shared" si="8"/>
        <v>AL GU</v>
      </c>
      <c r="AA22" s="3" t="str">
        <f t="shared" si="9"/>
        <v>TECHNI URUJI AL GU</v>
      </c>
      <c r="AB22" s="3" t="str">
        <f t="shared" si="10"/>
        <v>A - 1</v>
      </c>
      <c r="AC22" s="3" t="str">
        <f t="shared" si="11"/>
        <v>Technicbl Guruji</v>
      </c>
      <c r="AD22" s="3" t="str">
        <f t="shared" si="12"/>
        <v>TechniBBBBBB</v>
      </c>
      <c r="AE22" s="20" t="str">
        <f t="shared" si="13"/>
        <v>Technical Guruji</v>
      </c>
      <c r="AF22" s="3" t="str">
        <f t="shared" si="14"/>
        <v>Guruji</v>
      </c>
    </row>
    <row r="23" spans="1:32" ht="15.6" thickTop="1" thickBot="1">
      <c r="E23" s="4">
        <v>21</v>
      </c>
      <c r="F23" s="3" t="s">
        <v>61</v>
      </c>
      <c r="G23" s="3" t="s">
        <v>62</v>
      </c>
      <c r="H23" s="4" t="str" cm="1">
        <f t="array" ref="H23">_xlfn.XLOOKUP(F23,
{"Bangladesh","India","Pakistan","United States","United Kingdom","Canada","Australia","Germany","France","Italy","Spain","Japan","China","South Korea","Singapore","Thailand","Malaysia","Indonesia","Philippines","Vietnam","Saudi Arabia","United Arab Emirates","Qatar","Kuwait","Oman","Turkey","Russia","Ukraine","Romania","Portugal"},
{"৳","₹","₨","$","£","C$","A$","€","€","€","€","¥","¥","₩","S$","฿","RM","Rp","₱","₫","﷼","AED","QAR","KWD","OMR","₺","₽","₴","lei","€"})
&amp;" "&amp;TEXT(I23,"#,##0.00")</f>
        <v>﷼ 1,000.00</v>
      </c>
      <c r="I23" s="8">
        <v>1000</v>
      </c>
      <c r="J23" s="12">
        <v>46176</v>
      </c>
      <c r="K23" s="12">
        <v>46156</v>
      </c>
      <c r="M23" s="3">
        <v>21</v>
      </c>
      <c r="N23" s="3" t="s">
        <v>139</v>
      </c>
      <c r="O23" s="3" t="s">
        <v>91</v>
      </c>
      <c r="P23" s="3" t="s">
        <v>88</v>
      </c>
      <c r="Q23" s="3" t="s">
        <v>93</v>
      </c>
      <c r="R23" s="3" t="str">
        <f t="shared" si="0"/>
        <v>FACTTECHZ</v>
      </c>
      <c r="S23" s="3" t="str">
        <f t="shared" si="1"/>
        <v xml:space="preserve">india </v>
      </c>
      <c r="T23" s="3" t="str">
        <f t="shared" si="2"/>
        <v>FACTTECHZ</v>
      </c>
      <c r="U23" s="3" t="str">
        <f t="shared" si="3"/>
        <v>Facttechz</v>
      </c>
      <c r="V23" s="3">
        <f t="shared" si="4"/>
        <v>9</v>
      </c>
      <c r="W23" s="3" t="str">
        <f t="shared" si="5"/>
        <v xml:space="preserve">FACTTECHZ,India </v>
      </c>
      <c r="X23" s="3" t="str">
        <f t="shared" si="6"/>
        <v>FACTTE</v>
      </c>
      <c r="Y23" s="3" t="str">
        <f t="shared" si="7"/>
        <v>TECHZ</v>
      </c>
      <c r="Z23" s="3" t="str">
        <f t="shared" si="8"/>
        <v>HZ</v>
      </c>
      <c r="AA23" s="3" t="str">
        <f t="shared" si="9"/>
        <v>FACTTE TECHZ HZ</v>
      </c>
      <c r="AB23" s="3" t="str">
        <f t="shared" si="10"/>
        <v>A - 1</v>
      </c>
      <c r="AC23" s="3" t="str">
        <f t="shared" si="11"/>
        <v>FACTTECHZ</v>
      </c>
      <c r="AD23" s="3" t="str">
        <f t="shared" si="12"/>
        <v>FACTTEBBBBBB</v>
      </c>
      <c r="AE23" s="20" t="str">
        <f t="shared" si="13"/>
        <v>FACTTECHZ</v>
      </c>
      <c r="AF23" s="3" t="str">
        <f t="shared" si="14"/>
        <v>FACTTECHZ</v>
      </c>
    </row>
    <row r="24" spans="1:32" ht="15.6" thickTop="1" thickBot="1">
      <c r="E24" s="4">
        <v>22</v>
      </c>
      <c r="F24" s="3" t="s">
        <v>63</v>
      </c>
      <c r="G24" s="3" t="s">
        <v>64</v>
      </c>
      <c r="H24" s="3" t="str" cm="1">
        <f t="array" ref="H24">_xlfn.XLOOKUP(F24,
{"Bangladesh","India","Pakistan","United States","United Kingdom","Canada","Australia","Germany","France","Italy","Spain","Japan","China","South Korea","Singapore","Thailand","Malaysia","Indonesia","Philippines","Vietnam","Saudi Arabia","United Arab Emirates","Qatar","Kuwait","Oman","Turkey","Russia","Ukraine","Romania","Portugal"},
{"৳","₹","₨","$","£","C$","A$","€","€","€","€","¥","¥","₩","S$","฿","RM","Rp","₱","₫","﷼","AED","QAR","KWD","OMR","₺","₽","₴","lei","€"})
&amp;" "&amp;TEXT(I24,"#,##0.00")</f>
        <v>AED 1,000.00</v>
      </c>
      <c r="I24" s="8">
        <v>1000</v>
      </c>
      <c r="J24" s="12">
        <v>46177</v>
      </c>
      <c r="K24" s="12">
        <v>46156</v>
      </c>
      <c r="M24" s="3">
        <v>22</v>
      </c>
      <c r="N24" s="3" t="s">
        <v>121</v>
      </c>
      <c r="O24" s="3" t="s">
        <v>32</v>
      </c>
      <c r="P24" s="3" t="s">
        <v>88</v>
      </c>
      <c r="Q24" s="3" t="s">
        <v>104</v>
      </c>
      <c r="R24" s="3" t="str">
        <f t="shared" si="0"/>
        <v>SONY MUSIC INDIA</v>
      </c>
      <c r="S24" s="3" t="str">
        <f t="shared" si="1"/>
        <v>canada</v>
      </c>
      <c r="T24" s="3" t="str">
        <f t="shared" si="2"/>
        <v>Sony Music INDIA</v>
      </c>
      <c r="U24" s="3" t="str">
        <f t="shared" si="3"/>
        <v>Sony Music India</v>
      </c>
      <c r="V24" s="3">
        <f t="shared" si="4"/>
        <v>14</v>
      </c>
      <c r="W24" s="3" t="str">
        <f t="shared" si="5"/>
        <v>Sony Music INDIA,Canada</v>
      </c>
      <c r="X24" s="3" t="str">
        <f t="shared" si="6"/>
        <v>SONY M</v>
      </c>
      <c r="Y24" s="3" t="str">
        <f t="shared" si="7"/>
        <v>INDIA</v>
      </c>
      <c r="Z24" s="3" t="str">
        <f t="shared" si="8"/>
        <v>SIC I</v>
      </c>
      <c r="AA24" s="3" t="str">
        <f t="shared" si="9"/>
        <v>SONY M INDIA SIC I</v>
      </c>
      <c r="AB24" s="3" t="str">
        <f t="shared" si="10"/>
        <v>A - 1</v>
      </c>
      <c r="AC24" s="3" t="str">
        <f t="shared" si="11"/>
        <v>Sony Music INDIA</v>
      </c>
      <c r="AD24" s="3" t="str">
        <f t="shared" si="12"/>
        <v>Sony MBBBBBB</v>
      </c>
      <c r="AE24" s="20" t="str">
        <f t="shared" si="13"/>
        <v>Sony Music</v>
      </c>
      <c r="AF24" s="3" t="str">
        <f t="shared" si="14"/>
        <v>INDIA</v>
      </c>
    </row>
    <row r="25" spans="1:32" ht="15.6" thickTop="1" thickBot="1">
      <c r="E25" s="4">
        <v>23</v>
      </c>
      <c r="F25" s="3" t="s">
        <v>65</v>
      </c>
      <c r="G25" s="3" t="s">
        <v>66</v>
      </c>
      <c r="H25" s="3" t="str" cm="1">
        <f t="array" ref="H25">_xlfn.XLOOKUP(F25,
{"Bangladesh","India","Pakistan","United States","United Kingdom","Canada","Australia","Germany","France","Italy","Spain","Japan","China","South Korea","Singapore","Thailand","Malaysia","Indonesia","Philippines","Vietnam","Saudi Arabia","United Arab Emirates","Qatar","Kuwait","Oman","Turkey","Russia","Ukraine","Romania","Portugal"},
{"৳","₹","₨","$","£","C$","A$","€","€","€","€","¥","¥","₩","S$","฿","RM","Rp","₱","₫","﷼","AED","QAR","KWD","OMR","₺","₽","₴","lei","€"})
&amp;" "&amp;TEXT(I25,"#,##0.00")</f>
        <v>QAR 1,000.00</v>
      </c>
      <c r="I25" s="8">
        <v>1000</v>
      </c>
      <c r="J25" s="12">
        <v>46178</v>
      </c>
      <c r="K25" s="12">
        <v>46156</v>
      </c>
      <c r="M25" s="3">
        <v>23</v>
      </c>
      <c r="N25" s="3" t="s">
        <v>105</v>
      </c>
      <c r="O25" s="3" t="s">
        <v>44</v>
      </c>
      <c r="P25" s="3" t="s">
        <v>131</v>
      </c>
      <c r="Q25" s="3" t="s">
        <v>99</v>
      </c>
      <c r="R25" s="3" t="str">
        <f t="shared" si="0"/>
        <v>TECHNICAL GURUJI</v>
      </c>
      <c r="S25" s="3" t="str">
        <f t="shared" si="1"/>
        <v>japan</v>
      </c>
      <c r="T25" s="3" t="str">
        <f t="shared" si="2"/>
        <v>Technical Guruji</v>
      </c>
      <c r="U25" s="3" t="str">
        <f t="shared" si="3"/>
        <v>Technical Guruji</v>
      </c>
      <c r="V25" s="3">
        <f t="shared" si="4"/>
        <v>15</v>
      </c>
      <c r="W25" s="3" t="str">
        <f t="shared" si="5"/>
        <v>Technical Guruji,Japan</v>
      </c>
      <c r="X25" s="3" t="str">
        <f t="shared" si="6"/>
        <v>TECHNI</v>
      </c>
      <c r="Y25" s="3" t="str">
        <f t="shared" si="7"/>
        <v>URUJI</v>
      </c>
      <c r="Z25" s="3" t="str">
        <f t="shared" si="8"/>
        <v>AL GU</v>
      </c>
      <c r="AA25" s="3" t="str">
        <f t="shared" si="9"/>
        <v>TECHNI URUJI AL GU</v>
      </c>
      <c r="AB25" s="3" t="str">
        <f t="shared" si="10"/>
        <v>A - 1</v>
      </c>
      <c r="AC25" s="3" t="str">
        <f t="shared" si="11"/>
        <v>Technicbl Guruji</v>
      </c>
      <c r="AD25" s="3" t="str">
        <f t="shared" si="12"/>
        <v>TechniBBBBBB</v>
      </c>
      <c r="AE25" s="20" t="str">
        <f t="shared" si="13"/>
        <v>Technical Guruji</v>
      </c>
      <c r="AF25" s="3" t="str">
        <f t="shared" si="14"/>
        <v>Guruji</v>
      </c>
    </row>
    <row r="26" spans="1:32" ht="15.6" thickTop="1" thickBot="1">
      <c r="E26" s="4">
        <v>24</v>
      </c>
      <c r="F26" s="3" t="s">
        <v>67</v>
      </c>
      <c r="G26" s="3" t="s">
        <v>68</v>
      </c>
      <c r="H26" s="3" t="str" cm="1">
        <f t="array" ref="H26">_xlfn.XLOOKUP(F26,
{"Bangladesh","India","Pakistan","United States","United Kingdom","Canada","Australia","Germany","France","Italy","Spain","Japan","China","South Korea","Singapore","Thailand","Malaysia","Indonesia","Philippines","Vietnam","Saudi Arabia","United Arab Emirates","Qatar","Kuwait","Oman","Turkey","Russia","Ukraine","Romania","Portugal"},
{"৳","₹","₨","$","£","C$","A$","€","€","€","€","¥","¥","₩","S$","฿","RM","Rp","₱","₫","﷼","AED","QAR","KWD","OMR","₺","₽","₴","lei","€"})
&amp;" "&amp;TEXT(I26,"#,##0.00")</f>
        <v>KWD 1,000.00</v>
      </c>
      <c r="I26" s="8">
        <v>1000</v>
      </c>
      <c r="J26" s="12">
        <v>46179</v>
      </c>
      <c r="K26" s="12">
        <v>46156</v>
      </c>
      <c r="M26" s="3">
        <v>24</v>
      </c>
      <c r="N26" s="3" t="s">
        <v>140</v>
      </c>
      <c r="O26" s="3" t="s">
        <v>32</v>
      </c>
      <c r="P26" s="3" t="s">
        <v>126</v>
      </c>
      <c r="Q26" s="3" t="s">
        <v>99</v>
      </c>
      <c r="R26" s="3" t="str">
        <f t="shared" si="0"/>
        <v>AAJ TAK</v>
      </c>
      <c r="S26" s="3" t="str">
        <f t="shared" si="1"/>
        <v>canada</v>
      </c>
      <c r="T26" s="3" t="str">
        <f t="shared" si="2"/>
        <v>Aaj Tak</v>
      </c>
      <c r="U26" s="3" t="str">
        <f t="shared" si="3"/>
        <v>Aaj Tak</v>
      </c>
      <c r="V26" s="3">
        <f t="shared" si="4"/>
        <v>6</v>
      </c>
      <c r="W26" s="3" t="str">
        <f t="shared" si="5"/>
        <v>Aaj Tak,Canada</v>
      </c>
      <c r="X26" s="3" t="str">
        <f t="shared" si="6"/>
        <v>AAJ TA</v>
      </c>
      <c r="Y26" s="3" t="str">
        <f t="shared" si="7"/>
        <v>J TAK</v>
      </c>
      <c r="Z26" s="3" t="str">
        <f t="shared" si="8"/>
        <v/>
      </c>
      <c r="AA26" s="3" t="str">
        <f t="shared" si="9"/>
        <v xml:space="preserve">AAJ TA J TAK </v>
      </c>
      <c r="AB26" s="3" t="str">
        <f t="shared" si="10"/>
        <v>A - 3</v>
      </c>
      <c r="AC26" s="3" t="str">
        <f t="shared" si="11"/>
        <v>Abj Tbk</v>
      </c>
      <c r="AD26" s="3" t="str">
        <f t="shared" si="12"/>
        <v>Aaj TaBBBBBB</v>
      </c>
      <c r="AE26" s="20" t="str">
        <f t="shared" si="13"/>
        <v>Aaj Tak</v>
      </c>
      <c r="AF26" s="3" t="str">
        <f t="shared" si="14"/>
        <v>Tak</v>
      </c>
    </row>
    <row r="27" spans="1:32" ht="15.6" thickTop="1" thickBot="1">
      <c r="E27" s="4">
        <v>25</v>
      </c>
      <c r="F27" s="3" t="s">
        <v>69</v>
      </c>
      <c r="G27" s="3" t="s">
        <v>70</v>
      </c>
      <c r="H27" s="3" t="str" cm="1">
        <f t="array" ref="H27">_xlfn.XLOOKUP(F27,
{"Bangladesh","India","Pakistan","United States","United Kingdom","Canada","Australia","Germany","France","Italy","Spain","Japan","China","South Korea","Singapore","Thailand","Malaysia","Indonesia","Philippines","Vietnam","Saudi Arabia","United Arab Emirates","Qatar","Kuwait","Oman","Turkey","Russia","Ukraine","Romania","Portugal"},
{"৳","₹","₨","$","£","C$","A$","€","€","€","€","¥","¥","₩","S$","฿","RM","Rp","₱","₫","﷼","AED","QAR","KWD","OMR","₺","₽","₴","lei","€"})
&amp;" "&amp;TEXT(I27,"#,##0.00")</f>
        <v>OMR 1,000.00</v>
      </c>
      <c r="I27" s="8">
        <v>1000</v>
      </c>
      <c r="J27" s="12">
        <v>46180</v>
      </c>
      <c r="K27" s="12">
        <v>46156</v>
      </c>
      <c r="M27" s="3">
        <v>25</v>
      </c>
      <c r="N27" s="3" t="s">
        <v>106</v>
      </c>
      <c r="O27" s="3" t="s">
        <v>32</v>
      </c>
      <c r="P27" s="3" t="s">
        <v>92</v>
      </c>
      <c r="Q27" s="3" t="s">
        <v>124</v>
      </c>
      <c r="R27" s="3" t="str">
        <f t="shared" si="0"/>
        <v>MYSMARTPRICE</v>
      </c>
      <c r="S27" s="3" t="str">
        <f t="shared" si="1"/>
        <v>canada</v>
      </c>
      <c r="T27" s="3" t="str">
        <f t="shared" si="2"/>
        <v>MySmartPrice</v>
      </c>
      <c r="U27" s="3" t="str">
        <f t="shared" si="3"/>
        <v>Mysmartprice</v>
      </c>
      <c r="V27" s="3">
        <f t="shared" si="4"/>
        <v>12</v>
      </c>
      <c r="W27" s="3" t="str">
        <f t="shared" si="5"/>
        <v>MySmartPrice,Canada</v>
      </c>
      <c r="X27" s="3" t="str">
        <f t="shared" si="6"/>
        <v>MYSMAR</v>
      </c>
      <c r="Y27" s="3" t="str">
        <f t="shared" si="7"/>
        <v>PRICE</v>
      </c>
      <c r="Z27" s="3" t="str">
        <f t="shared" si="8"/>
        <v>PRICE</v>
      </c>
      <c r="AA27" s="3" t="str">
        <f t="shared" si="9"/>
        <v>MYSMAR PRICE PRICE</v>
      </c>
      <c r="AB27" s="3" t="str">
        <f t="shared" si="10"/>
        <v>A - 1</v>
      </c>
      <c r="AC27" s="3" t="str">
        <f t="shared" si="11"/>
        <v>MySmbrtPrice</v>
      </c>
      <c r="AD27" s="3" t="str">
        <f t="shared" si="12"/>
        <v>MySmarBBBBBB</v>
      </c>
      <c r="AE27" s="20" t="str">
        <f t="shared" si="13"/>
        <v>MySmartPrice</v>
      </c>
      <c r="AF27" s="3" t="str">
        <f t="shared" si="14"/>
        <v>MySmartPrice</v>
      </c>
    </row>
    <row r="28" spans="1:32" ht="15.6" thickTop="1" thickBot="1">
      <c r="E28" s="4">
        <v>26</v>
      </c>
      <c r="F28" s="3" t="s">
        <v>71</v>
      </c>
      <c r="G28" s="3" t="s">
        <v>72</v>
      </c>
      <c r="H28" s="3" t="str" cm="1">
        <f t="array" ref="H28">_xlfn.XLOOKUP(F28,
{"Bangladesh","India","Pakistan","United States","United Kingdom","Canada","Australia","Germany","France","Italy","Spain","Japan","China","South Korea","Singapore","Thailand","Malaysia","Indonesia","Philippines","Vietnam","Saudi Arabia","United Arab Emirates","Qatar","Kuwait","Oman","Turkey","Russia","Ukraine","Romania","Portugal"},
{"৳","₹","₨","$","£","C$","A$","€","€","€","€","¥","¥","₩","S$","฿","RM","Rp","₱","₫","﷼","AED","QAR","KWD","OMR","₺","₽","₴","lei","€"})
&amp;" "&amp;TEXT(I28,"#,##0.00")</f>
        <v>₺ 1,000.00</v>
      </c>
      <c r="I28" s="8">
        <v>1000</v>
      </c>
      <c r="J28" s="12">
        <v>46181</v>
      </c>
      <c r="K28" s="12">
        <v>46156</v>
      </c>
      <c r="M28" s="3">
        <v>26</v>
      </c>
      <c r="N28" s="3" t="s">
        <v>141</v>
      </c>
      <c r="O28" s="3" t="s">
        <v>95</v>
      </c>
      <c r="P28" s="3" t="s">
        <v>131</v>
      </c>
      <c r="Q28" s="3" t="s">
        <v>89</v>
      </c>
      <c r="R28" s="3" t="str">
        <f t="shared" si="0"/>
        <v>VANOSSGAMING</v>
      </c>
      <c r="S28" s="3" t="str">
        <f t="shared" si="1"/>
        <v>mexico</v>
      </c>
      <c r="T28" s="3" t="str">
        <f t="shared" si="2"/>
        <v>VanossGaming</v>
      </c>
      <c r="U28" s="3" t="str">
        <f t="shared" si="3"/>
        <v>Vanossgaming</v>
      </c>
      <c r="V28" s="3">
        <f t="shared" si="4"/>
        <v>12</v>
      </c>
      <c r="W28" s="3" t="str">
        <f t="shared" si="5"/>
        <v>VanossGaming,Mexico</v>
      </c>
      <c r="X28" s="3" t="str">
        <f t="shared" si="6"/>
        <v>VANOSS</v>
      </c>
      <c r="Y28" s="3" t="str">
        <f t="shared" si="7"/>
        <v>AMING</v>
      </c>
      <c r="Z28" s="3" t="str">
        <f t="shared" si="8"/>
        <v>AMING</v>
      </c>
      <c r="AA28" s="3" t="str">
        <f t="shared" si="9"/>
        <v>VANOSS AMING AMING</v>
      </c>
      <c r="AB28" s="3" t="str">
        <f t="shared" si="10"/>
        <v>A - 2</v>
      </c>
      <c r="AC28" s="3" t="str">
        <f t="shared" si="11"/>
        <v>VbnossGbming</v>
      </c>
      <c r="AD28" s="3" t="str">
        <f t="shared" si="12"/>
        <v>VanossBBBBBB</v>
      </c>
      <c r="AE28" s="20" t="str">
        <f t="shared" si="13"/>
        <v>VanossGaming</v>
      </c>
      <c r="AF28" s="3" t="str">
        <f t="shared" si="14"/>
        <v>VanossGaming</v>
      </c>
    </row>
    <row r="29" spans="1:32" ht="15.6" thickTop="1" thickBot="1">
      <c r="E29" s="4">
        <v>27</v>
      </c>
      <c r="F29" s="3" t="s">
        <v>73</v>
      </c>
      <c r="G29" s="3" t="s">
        <v>74</v>
      </c>
      <c r="H29" s="3" t="str" cm="1">
        <f t="array" ref="H29">_xlfn.XLOOKUP(F29,
{"Bangladesh","India","Pakistan","United States","United Kingdom","Canada","Australia","Germany","France","Italy","Spain","Japan","China","South Korea","Singapore","Thailand","Malaysia","Indonesia","Philippines","Vietnam","Saudi Arabia","United Arab Emirates","Qatar","Kuwait","Oman","Turkey","Russia","Ukraine","Romania","Portugal"},
{"৳","₹","₨","$","£","C$","A$","€","€","€","€","¥","¥","₩","S$","฿","RM","Rp","₱","₫","﷼","AED","QAR","KWD","OMR","₺","₽","₴","lei","€"})
&amp;" "&amp;TEXT(I29,"#,##0.00")</f>
        <v>₽ 1,000.00</v>
      </c>
      <c r="I29" s="8">
        <v>1000</v>
      </c>
      <c r="J29" s="12">
        <v>46182</v>
      </c>
      <c r="K29" s="12">
        <v>46156</v>
      </c>
      <c r="M29" s="3">
        <v>27</v>
      </c>
      <c r="N29" s="3" t="s">
        <v>142</v>
      </c>
      <c r="O29" s="3" t="s">
        <v>44</v>
      </c>
      <c r="P29" s="3" t="s">
        <v>103</v>
      </c>
      <c r="Q29" s="3" t="s">
        <v>124</v>
      </c>
      <c r="R29" s="3" t="str">
        <f t="shared" si="0"/>
        <v>COCOMELON - NURSERY RHYMES</v>
      </c>
      <c r="S29" s="3" t="str">
        <f t="shared" si="1"/>
        <v>japan</v>
      </c>
      <c r="T29" s="3" t="str">
        <f t="shared" si="2"/>
        <v>coComelon - Nursery rhymes</v>
      </c>
      <c r="U29" s="3" t="str">
        <f t="shared" si="3"/>
        <v>Cocomelon - Nursery Rhymes</v>
      </c>
      <c r="V29" s="3">
        <f t="shared" si="4"/>
        <v>23</v>
      </c>
      <c r="W29" s="3" t="str">
        <f t="shared" si="5"/>
        <v>coComelon - Nursery rhymes,Japan</v>
      </c>
      <c r="X29" s="3" t="str">
        <f t="shared" si="6"/>
        <v>COCOME</v>
      </c>
      <c r="Y29" s="3" t="str">
        <f t="shared" si="7"/>
        <v>HYMES</v>
      </c>
      <c r="Z29" s="3" t="str">
        <f t="shared" si="8"/>
        <v xml:space="preserve">ON - </v>
      </c>
      <c r="AA29" s="3" t="str">
        <f t="shared" si="9"/>
        <v xml:space="preserve">COCOME HYMES ON - </v>
      </c>
      <c r="AB29" s="3" t="str">
        <f t="shared" si="10"/>
        <v>A - 0</v>
      </c>
      <c r="AC29" s="3" t="str">
        <f t="shared" si="11"/>
        <v>coComelon - Nursery rhymes</v>
      </c>
      <c r="AD29" s="3" t="str">
        <f t="shared" si="12"/>
        <v>coComeBBBBBBmes</v>
      </c>
      <c r="AE29" s="20" t="str">
        <f t="shared" si="13"/>
        <v>coComelon -</v>
      </c>
      <c r="AF29" s="3" t="str">
        <f t="shared" si="14"/>
        <v>rhymes</v>
      </c>
    </row>
    <row r="30" spans="1:32" ht="15.6" thickTop="1" thickBot="1">
      <c r="E30" s="4">
        <v>28</v>
      </c>
      <c r="F30" s="3" t="s">
        <v>75</v>
      </c>
      <c r="G30" s="3" t="s">
        <v>76</v>
      </c>
      <c r="H30" s="3" t="str" cm="1">
        <f t="array" ref="H30">_xlfn.XLOOKUP(F30,
{"Bangladesh","India","Pakistan","United States","United Kingdom","Canada","Australia","Germany","France","Italy","Spain","Japan","China","South Korea","Singapore","Thailand","Malaysia","Indonesia","Philippines","Vietnam","Saudi Arabia","United Arab Emirates","Qatar","Kuwait","Oman","Turkey","Russia","Ukraine","Romania","Portugal"},
{"৳","₹","₨","$","£","C$","A$","€","€","€","€","¥","¥","₩","S$","฿","RM","Rp","₱","₫","﷼","AED","QAR","KWD","OMR","₺","₽","₴","lei","€"})
&amp;" "&amp;TEXT(I30,"#,##0.00")</f>
        <v>₴ 1,000.00</v>
      </c>
      <c r="I30" s="8">
        <v>1000</v>
      </c>
      <c r="J30" s="12">
        <v>46183</v>
      </c>
      <c r="K30" s="12">
        <v>46156</v>
      </c>
      <c r="M30" s="3">
        <v>28</v>
      </c>
      <c r="N30" s="3" t="s">
        <v>143</v>
      </c>
      <c r="O30" s="3" t="s">
        <v>44</v>
      </c>
      <c r="P30" s="3" t="s">
        <v>103</v>
      </c>
      <c r="Q30" s="3" t="s">
        <v>138</v>
      </c>
      <c r="R30" s="3" t="str">
        <f t="shared" si="0"/>
        <v>TOTAL GAMING</v>
      </c>
      <c r="S30" s="3" t="str">
        <f t="shared" si="1"/>
        <v>japan</v>
      </c>
      <c r="T30" s="3" t="str">
        <f t="shared" si="2"/>
        <v>Total Gaming</v>
      </c>
      <c r="U30" s="3" t="str">
        <f t="shared" si="3"/>
        <v>Total Gaming</v>
      </c>
      <c r="V30" s="3">
        <f t="shared" si="4"/>
        <v>11</v>
      </c>
      <c r="W30" s="3" t="str">
        <f t="shared" si="5"/>
        <v>Total Gaming,Japan</v>
      </c>
      <c r="X30" s="3" t="str">
        <f t="shared" si="6"/>
        <v xml:space="preserve">TOTAL </v>
      </c>
      <c r="Y30" s="3" t="str">
        <f t="shared" si="7"/>
        <v>AMING</v>
      </c>
      <c r="Z30" s="3" t="str">
        <f t="shared" si="8"/>
        <v>AMING</v>
      </c>
      <c r="AA30" s="3" t="str">
        <f t="shared" si="9"/>
        <v>TOTAL  AMING AMING</v>
      </c>
      <c r="AB30" s="3" t="str">
        <f t="shared" si="10"/>
        <v>A - 2</v>
      </c>
      <c r="AC30" s="3" t="str">
        <f t="shared" si="11"/>
        <v>Totbl Gbming</v>
      </c>
      <c r="AD30" s="3" t="str">
        <f t="shared" si="12"/>
        <v>Total BBBBBB</v>
      </c>
      <c r="AE30" s="20" t="str">
        <f t="shared" si="13"/>
        <v>Total Gaming</v>
      </c>
      <c r="AF30" s="3" t="str">
        <f t="shared" si="14"/>
        <v>Gaming</v>
      </c>
    </row>
    <row r="31" spans="1:32" ht="15.6" thickTop="1" thickBot="1">
      <c r="E31" s="4">
        <v>29</v>
      </c>
      <c r="F31" s="3" t="s">
        <v>77</v>
      </c>
      <c r="G31" s="3" t="s">
        <v>78</v>
      </c>
      <c r="H31" s="3" t="str" cm="1">
        <f t="array" ref="H31">_xlfn.XLOOKUP(F31,
{"Bangladesh","India","Pakistan","United States","United Kingdom","Canada","Australia","Germany","France","Italy","Spain","Japan","China","South Korea","Singapore","Thailand","Malaysia","Indonesia","Philippines","Vietnam","Saudi Arabia","United Arab Emirates","Qatar","Kuwait","Oman","Turkey","Russia","Ukraine","Romania","Portugal"},
{"৳","₹","₨","$","£","C$","A$","€","€","€","€","¥","¥","₩","S$","฿","RM","Rp","₱","₫","﷼","AED","QAR","KWD","OMR","₺","₽","₴","lei","€"})
&amp;" "&amp;TEXT(I31,"#,##0.00")</f>
        <v>lei 1,000.00</v>
      </c>
      <c r="I31" s="8">
        <v>1000</v>
      </c>
      <c r="J31" s="12">
        <v>46184</v>
      </c>
      <c r="K31" s="12">
        <v>46156</v>
      </c>
      <c r="M31" s="3">
        <v>29</v>
      </c>
      <c r="N31" s="3" t="s">
        <v>144</v>
      </c>
      <c r="O31" s="3" t="s">
        <v>32</v>
      </c>
      <c r="P31" s="3" t="s">
        <v>103</v>
      </c>
      <c r="Q31" s="3" t="s">
        <v>97</v>
      </c>
      <c r="R31" s="3" t="str">
        <f t="shared" si="0"/>
        <v>DUDE PERFECT</v>
      </c>
      <c r="S31" s="3" t="str">
        <f t="shared" si="1"/>
        <v>canada</v>
      </c>
      <c r="T31" s="3" t="str">
        <f t="shared" si="2"/>
        <v>Dude Perfect</v>
      </c>
      <c r="U31" s="3" t="str">
        <f t="shared" si="3"/>
        <v>Dude Perfect</v>
      </c>
      <c r="V31" s="3">
        <f t="shared" si="4"/>
        <v>11</v>
      </c>
      <c r="W31" s="3" t="str">
        <f t="shared" si="5"/>
        <v>Dude Perfect,Canada</v>
      </c>
      <c r="X31" s="3" t="str">
        <f t="shared" si="6"/>
        <v>DUDE P</v>
      </c>
      <c r="Y31" s="3" t="str">
        <f t="shared" si="7"/>
        <v>RFECT</v>
      </c>
      <c r="Z31" s="3" t="str">
        <f t="shared" si="8"/>
        <v>RFECT</v>
      </c>
      <c r="AA31" s="3" t="str">
        <f t="shared" si="9"/>
        <v>DUDE P RFECT RFECT</v>
      </c>
      <c r="AB31" s="3" t="str">
        <f t="shared" si="10"/>
        <v>A - 0</v>
      </c>
      <c r="AC31" s="3" t="str">
        <f t="shared" si="11"/>
        <v>Dude Perfect</v>
      </c>
      <c r="AD31" s="3" t="str">
        <f t="shared" si="12"/>
        <v>Dude PBBBBBB</v>
      </c>
      <c r="AE31" s="20" t="str">
        <f t="shared" si="13"/>
        <v>Dude Perfect</v>
      </c>
      <c r="AF31" s="3" t="str">
        <f t="shared" si="14"/>
        <v>Perfect</v>
      </c>
    </row>
    <row r="32" spans="1:32" ht="15.6" thickTop="1" thickBot="1">
      <c r="E32" s="4">
        <v>30</v>
      </c>
      <c r="F32" s="3" t="s">
        <v>79</v>
      </c>
      <c r="G32" s="3" t="s">
        <v>80</v>
      </c>
      <c r="H32" s="3" t="str" cm="1">
        <f t="array" ref="H32">_xlfn.XLOOKUP(F32,
{"Bangladesh","India","Pakistan","United States","United Kingdom","Canada","Australia","Germany","France","Italy","Spain","Japan","China","South Korea","Singapore","Thailand","Malaysia","Indonesia","Philippines","Vietnam","Saudi Arabia","United Arab Emirates","Qatar","Kuwait","Oman","Turkey","Russia","Ukraine","Romania","Portugal"},
{"৳","₹","₨","$","£","C$","A$","€","€","€","€","¥","¥","₩","S$","฿","RM","Rp","₱","₫","﷼","AED","QAR","KWD","OMR","₺","₽","₴","lei","€"})
&amp;" "&amp;TEXT(I32,"#,##0.00")</f>
        <v>€ 1,000.00</v>
      </c>
      <c r="I32" s="8">
        <v>1000</v>
      </c>
      <c r="J32" s="12">
        <v>46185</v>
      </c>
      <c r="K32" s="12">
        <v>46156</v>
      </c>
      <c r="M32" s="3">
        <v>30</v>
      </c>
      <c r="N32" s="3" t="s">
        <v>86</v>
      </c>
      <c r="O32" s="3" t="s">
        <v>24</v>
      </c>
      <c r="P32" s="3" t="s">
        <v>92</v>
      </c>
      <c r="Q32" s="3" t="s">
        <v>124</v>
      </c>
      <c r="R32" s="3" t="str">
        <f t="shared" si="0"/>
        <v>MARKIPLIER</v>
      </c>
      <c r="S32" s="3" t="str">
        <f t="shared" si="1"/>
        <v>india</v>
      </c>
      <c r="T32" s="3" t="str">
        <f t="shared" si="2"/>
        <v>Markiplier</v>
      </c>
      <c r="U32" s="3" t="str">
        <f t="shared" si="3"/>
        <v>Markiplier</v>
      </c>
      <c r="V32" s="3">
        <f t="shared" si="4"/>
        <v>10</v>
      </c>
      <c r="W32" s="3" t="str">
        <f t="shared" si="5"/>
        <v>Markiplier,India</v>
      </c>
      <c r="X32" s="3" t="str">
        <f t="shared" si="6"/>
        <v>MARKIP</v>
      </c>
      <c r="Y32" s="3" t="str">
        <f t="shared" si="7"/>
        <v>PLIER</v>
      </c>
      <c r="Z32" s="3" t="str">
        <f t="shared" si="8"/>
        <v>IER</v>
      </c>
      <c r="AA32" s="3" t="str">
        <f t="shared" si="9"/>
        <v>MARKIP PLIER IER</v>
      </c>
      <c r="AB32" s="3" t="str">
        <f t="shared" si="10"/>
        <v>A - 1</v>
      </c>
      <c r="AC32" s="3" t="str">
        <f t="shared" si="11"/>
        <v>Mbrkiplier</v>
      </c>
      <c r="AD32" s="3" t="str">
        <f t="shared" si="12"/>
        <v>MarkipBBBBBB</v>
      </c>
      <c r="AE32" s="20" t="str">
        <f t="shared" si="13"/>
        <v>Markiplier</v>
      </c>
      <c r="AF32" s="3" t="str">
        <f t="shared" si="14"/>
        <v>Markiplier</v>
      </c>
    </row>
    <row r="33" spans="5:32" ht="15.6" thickTop="1" thickBot="1">
      <c r="E33" s="9"/>
      <c r="I33" s="10"/>
      <c r="M33" s="3">
        <v>31</v>
      </c>
      <c r="N33" s="3" t="s">
        <v>145</v>
      </c>
      <c r="O33" s="3" t="s">
        <v>122</v>
      </c>
      <c r="P33" s="3" t="s">
        <v>88</v>
      </c>
      <c r="Q33" s="3" t="s">
        <v>138</v>
      </c>
      <c r="R33" s="3" t="str">
        <f t="shared" si="0"/>
        <v>TECH BURNER</v>
      </c>
      <c r="S33" s="3" t="str">
        <f t="shared" si="1"/>
        <v>usa</v>
      </c>
      <c r="T33" s="3" t="str">
        <f t="shared" si="2"/>
        <v>Tech Burner</v>
      </c>
      <c r="U33" s="3" t="str">
        <f t="shared" si="3"/>
        <v>Tech Burner</v>
      </c>
      <c r="V33" s="3">
        <f t="shared" si="4"/>
        <v>10</v>
      </c>
      <c r="W33" s="3" t="str">
        <f t="shared" si="5"/>
        <v>Tech Burner,USA</v>
      </c>
      <c r="X33" s="3" t="str">
        <f t="shared" si="6"/>
        <v>TECH B</v>
      </c>
      <c r="Y33" s="3" t="str">
        <f t="shared" si="7"/>
        <v>URNER</v>
      </c>
      <c r="Z33" s="3" t="str">
        <f t="shared" si="8"/>
        <v>RNER</v>
      </c>
      <c r="AA33" s="3" t="str">
        <f t="shared" si="9"/>
        <v>TECH B URNER RNER</v>
      </c>
      <c r="AB33" s="3" t="str">
        <f t="shared" si="10"/>
        <v>A - 0</v>
      </c>
      <c r="AC33" s="3" t="str">
        <f t="shared" si="11"/>
        <v>Tech Burner</v>
      </c>
      <c r="AD33" s="3" t="str">
        <f t="shared" si="12"/>
        <v>Tech BBBBBBB</v>
      </c>
      <c r="AE33" s="20" t="str">
        <f t="shared" si="13"/>
        <v>Tech Burner</v>
      </c>
      <c r="AF33" s="3" t="str">
        <f t="shared" si="14"/>
        <v>Burner</v>
      </c>
    </row>
    <row r="34" spans="5:32" ht="15.6" thickTop="1" thickBot="1">
      <c r="E34" s="9"/>
      <c r="I34" s="10"/>
      <c r="M34" s="3">
        <v>32</v>
      </c>
      <c r="N34" s="3" t="s">
        <v>146</v>
      </c>
      <c r="O34" s="3" t="s">
        <v>107</v>
      </c>
      <c r="P34" s="3" t="s">
        <v>126</v>
      </c>
      <c r="Q34" s="3" t="s">
        <v>124</v>
      </c>
      <c r="R34" s="3" t="str">
        <f t="shared" si="0"/>
        <v xml:space="preserve">KIDS DIANA SHOW  </v>
      </c>
      <c r="S34" s="3" t="str">
        <f t="shared" si="1"/>
        <v>sweden</v>
      </c>
      <c r="T34" s="3" t="str">
        <f t="shared" si="2"/>
        <v>kids diana show</v>
      </c>
      <c r="U34" s="3" t="str">
        <f t="shared" si="3"/>
        <v>Kids Diana Show</v>
      </c>
      <c r="V34" s="3">
        <f t="shared" si="4"/>
        <v>13</v>
      </c>
      <c r="W34" s="3" t="str">
        <f t="shared" si="5"/>
        <v>kids diana show  ,Sweden</v>
      </c>
      <c r="X34" s="3" t="str">
        <f t="shared" si="6"/>
        <v>KIDS D</v>
      </c>
      <c r="Y34" s="3" t="str">
        <f t="shared" si="7"/>
        <v xml:space="preserve">HOW  </v>
      </c>
      <c r="Z34" s="3" t="str">
        <f t="shared" si="8"/>
        <v>ANA S</v>
      </c>
      <c r="AA34" s="3" t="str">
        <f t="shared" si="9"/>
        <v>KIDS D HOW   ANA S</v>
      </c>
      <c r="AB34" s="3" t="str">
        <f t="shared" si="10"/>
        <v>A - 2</v>
      </c>
      <c r="AC34" s="3" t="str">
        <f t="shared" si="11"/>
        <v xml:space="preserve">kids dibnb show  </v>
      </c>
      <c r="AD34" s="3" t="str">
        <f t="shared" si="12"/>
        <v>kids dBBBBBB</v>
      </c>
      <c r="AE34" s="20" t="str">
        <f t="shared" si="13"/>
        <v>kids diana</v>
      </c>
      <c r="AF34" s="3" t="str">
        <f t="shared" si="14"/>
        <v>show</v>
      </c>
    </row>
    <row r="35" spans="5:32" ht="15.6" thickTop="1" thickBot="1">
      <c r="E35" s="9"/>
      <c r="I35" s="10"/>
      <c r="M35" s="3">
        <v>33</v>
      </c>
      <c r="N35" s="3" t="s">
        <v>147</v>
      </c>
      <c r="O35" s="3" t="s">
        <v>32</v>
      </c>
      <c r="P35" s="3" t="s">
        <v>131</v>
      </c>
      <c r="Q35" s="3" t="s">
        <v>138</v>
      </c>
      <c r="R35" s="3" t="str">
        <f t="shared" si="0"/>
        <v>SONY MUSIC INDIA</v>
      </c>
      <c r="S35" s="3" t="str">
        <f t="shared" si="1"/>
        <v>canada</v>
      </c>
      <c r="T35" s="3" t="str">
        <f t="shared" si="2"/>
        <v>sony music india</v>
      </c>
      <c r="U35" s="3" t="str">
        <f t="shared" si="3"/>
        <v>Sony Music India</v>
      </c>
      <c r="V35" s="3">
        <f t="shared" si="4"/>
        <v>14</v>
      </c>
      <c r="W35" s="3" t="str">
        <f t="shared" si="5"/>
        <v>sony music india,Canada</v>
      </c>
      <c r="X35" s="3" t="str">
        <f t="shared" si="6"/>
        <v>SONY M</v>
      </c>
      <c r="Y35" s="3" t="str">
        <f t="shared" si="7"/>
        <v>INDIA</v>
      </c>
      <c r="Z35" s="3" t="str">
        <f t="shared" si="8"/>
        <v>SIC I</v>
      </c>
      <c r="AA35" s="3" t="str">
        <f t="shared" si="9"/>
        <v>SONY M INDIA SIC I</v>
      </c>
      <c r="AB35" s="3" t="str">
        <f t="shared" si="10"/>
        <v>A - 1</v>
      </c>
      <c r="AC35" s="3" t="str">
        <f t="shared" si="11"/>
        <v>sony music indib</v>
      </c>
      <c r="AD35" s="3" t="str">
        <f t="shared" si="12"/>
        <v>sony mBBBBBB</v>
      </c>
      <c r="AE35" s="20" t="str">
        <f t="shared" si="13"/>
        <v>sony music</v>
      </c>
      <c r="AF35" s="3" t="str">
        <f t="shared" si="14"/>
        <v>india</v>
      </c>
    </row>
    <row r="36" spans="5:32" ht="15.6" thickTop="1" thickBot="1">
      <c r="E36" s="9"/>
      <c r="I36" s="10"/>
      <c r="M36" s="3">
        <v>34</v>
      </c>
      <c r="N36" s="3" t="s">
        <v>148</v>
      </c>
      <c r="O36" s="3" t="s">
        <v>44</v>
      </c>
      <c r="P36" s="3" t="s">
        <v>126</v>
      </c>
      <c r="Q36" s="3" t="s">
        <v>138</v>
      </c>
      <c r="R36" s="3" t="str">
        <f t="shared" si="0"/>
        <v>ROUND2HELL</v>
      </c>
      <c r="S36" s="3" t="str">
        <f t="shared" si="1"/>
        <v>japan</v>
      </c>
      <c r="T36" s="3" t="str">
        <f t="shared" si="2"/>
        <v>Round2hell</v>
      </c>
      <c r="U36" s="3" t="str">
        <f t="shared" si="3"/>
        <v>Round2Hell</v>
      </c>
      <c r="V36" s="3">
        <f t="shared" si="4"/>
        <v>10</v>
      </c>
      <c r="W36" s="3" t="str">
        <f t="shared" si="5"/>
        <v>Round2hell,Japan</v>
      </c>
      <c r="X36" s="3" t="str">
        <f t="shared" si="6"/>
        <v>ROUND2</v>
      </c>
      <c r="Y36" s="3" t="str">
        <f t="shared" si="7"/>
        <v>2HELL</v>
      </c>
      <c r="Z36" s="3" t="str">
        <f t="shared" si="8"/>
        <v>ELL</v>
      </c>
      <c r="AA36" s="3" t="str">
        <f t="shared" si="9"/>
        <v>ROUND2 2HELL ELL</v>
      </c>
      <c r="AB36" s="3" t="str">
        <f t="shared" si="10"/>
        <v>A - 0</v>
      </c>
      <c r="AC36" s="3" t="str">
        <f t="shared" si="11"/>
        <v>Round2hell</v>
      </c>
      <c r="AD36" s="3" t="str">
        <f t="shared" si="12"/>
        <v>Round2BBBBBB</v>
      </c>
      <c r="AE36" s="20" t="str">
        <f t="shared" si="13"/>
        <v>Round2hell</v>
      </c>
      <c r="AF36" s="3" t="str">
        <f t="shared" si="14"/>
        <v>Round2hell</v>
      </c>
    </row>
    <row r="37" spans="5:32" ht="15.6" thickTop="1" thickBot="1">
      <c r="E37" s="9"/>
      <c r="I37" s="10"/>
      <c r="M37" s="3">
        <v>35</v>
      </c>
      <c r="N37" s="3" t="s">
        <v>134</v>
      </c>
      <c r="O37" s="3" t="s">
        <v>122</v>
      </c>
      <c r="P37" s="3" t="s">
        <v>108</v>
      </c>
      <c r="Q37" s="3" t="s">
        <v>138</v>
      </c>
      <c r="R37" s="3" t="str">
        <f t="shared" si="0"/>
        <v xml:space="preserve"> SET INDIA </v>
      </c>
      <c r="S37" s="3" t="str">
        <f t="shared" si="1"/>
        <v>usa</v>
      </c>
      <c r="T37" s="3" t="str">
        <f t="shared" si="2"/>
        <v>SET India</v>
      </c>
      <c r="U37" s="3" t="str">
        <f t="shared" si="3"/>
        <v>Set India</v>
      </c>
      <c r="V37" s="3">
        <f t="shared" si="4"/>
        <v>8</v>
      </c>
      <c r="W37" s="3" t="str">
        <f t="shared" si="5"/>
        <v xml:space="preserve"> SET India ,USA</v>
      </c>
      <c r="X37" s="3" t="str">
        <f t="shared" si="6"/>
        <v xml:space="preserve"> SET I</v>
      </c>
      <c r="Y37" s="3" t="str">
        <f t="shared" si="7"/>
        <v xml:space="preserve">NDIA </v>
      </c>
      <c r="Z37" s="3" t="str">
        <f t="shared" si="8"/>
        <v xml:space="preserve">DIA </v>
      </c>
      <c r="AA37" s="3" t="str">
        <f t="shared" si="9"/>
        <v xml:space="preserve"> SET I NDIA  DIA </v>
      </c>
      <c r="AB37" s="3" t="str">
        <f t="shared" si="10"/>
        <v>A - 1</v>
      </c>
      <c r="AC37" s="3" t="str">
        <f t="shared" si="11"/>
        <v xml:space="preserve"> SET Indib </v>
      </c>
      <c r="AD37" s="3" t="str">
        <f t="shared" si="12"/>
        <v xml:space="preserve"> SET IBBBBBB</v>
      </c>
      <c r="AE37" s="20" t="str">
        <f t="shared" si="13"/>
        <v xml:space="preserve"> SET</v>
      </c>
      <c r="AF37" s="3" t="str">
        <f t="shared" si="14"/>
        <v>India</v>
      </c>
    </row>
    <row r="38" spans="5:32" ht="15.6" thickTop="1" thickBot="1">
      <c r="E38" s="9"/>
      <c r="I38" s="10"/>
      <c r="M38" s="3">
        <v>36</v>
      </c>
      <c r="N38" s="3" t="s">
        <v>149</v>
      </c>
      <c r="O38" s="3" t="s">
        <v>32</v>
      </c>
      <c r="P38" s="3" t="s">
        <v>131</v>
      </c>
      <c r="Q38" s="3" t="s">
        <v>124</v>
      </c>
      <c r="R38" s="3" t="str">
        <f t="shared" si="0"/>
        <v xml:space="preserve">VANOSSGAMING  </v>
      </c>
      <c r="S38" s="3" t="str">
        <f t="shared" si="1"/>
        <v>canada</v>
      </c>
      <c r="T38" s="3" t="str">
        <f t="shared" si="2"/>
        <v>vanossgaming</v>
      </c>
      <c r="U38" s="3" t="str">
        <f t="shared" si="3"/>
        <v>Vanossgaming</v>
      </c>
      <c r="V38" s="3">
        <f t="shared" si="4"/>
        <v>12</v>
      </c>
      <c r="W38" s="3" t="str">
        <f t="shared" si="5"/>
        <v>vanossgaming  ,Canada</v>
      </c>
      <c r="X38" s="3" t="str">
        <f t="shared" si="6"/>
        <v>VANOSS</v>
      </c>
      <c r="Y38" s="3" t="str">
        <f t="shared" si="7"/>
        <v xml:space="preserve">ING  </v>
      </c>
      <c r="Z38" s="3" t="str">
        <f t="shared" si="8"/>
        <v>AMING</v>
      </c>
      <c r="AA38" s="3" t="str">
        <f t="shared" si="9"/>
        <v>VANOSS ING   AMING</v>
      </c>
      <c r="AB38" s="3" t="str">
        <f t="shared" si="10"/>
        <v>A - 2</v>
      </c>
      <c r="AC38" s="3" t="str">
        <f t="shared" si="11"/>
        <v xml:space="preserve">vbnossgbming  </v>
      </c>
      <c r="AD38" s="3" t="str">
        <f t="shared" si="12"/>
        <v>vanossBBBBBB</v>
      </c>
      <c r="AE38" s="20" t="str">
        <f t="shared" si="13"/>
        <v xml:space="preserve">vanossgaming </v>
      </c>
      <c r="AF38" s="3" t="str">
        <f t="shared" si="14"/>
        <v>vanossgaming</v>
      </c>
    </row>
    <row r="39" spans="5:32" ht="15.6" thickTop="1" thickBot="1">
      <c r="E39" s="9"/>
      <c r="I39" s="10"/>
      <c r="M39" s="3">
        <v>37</v>
      </c>
      <c r="N39" s="3" t="s">
        <v>134</v>
      </c>
      <c r="O39" s="3" t="s">
        <v>87</v>
      </c>
      <c r="P39" s="3" t="s">
        <v>88</v>
      </c>
      <c r="Q39" s="3" t="s">
        <v>124</v>
      </c>
      <c r="R39" s="3" t="str">
        <f t="shared" si="0"/>
        <v xml:space="preserve"> SET INDIA </v>
      </c>
      <c r="S39" s="3" t="str">
        <f t="shared" si="1"/>
        <v>brazil</v>
      </c>
      <c r="T39" s="3" t="str">
        <f t="shared" si="2"/>
        <v>SET India</v>
      </c>
      <c r="U39" s="3" t="str">
        <f t="shared" si="3"/>
        <v>Set India</v>
      </c>
      <c r="V39" s="3">
        <f t="shared" si="4"/>
        <v>8</v>
      </c>
      <c r="W39" s="3" t="str">
        <f t="shared" si="5"/>
        <v xml:space="preserve"> SET India ,Brazil</v>
      </c>
      <c r="X39" s="3" t="str">
        <f t="shared" si="6"/>
        <v xml:space="preserve"> SET I</v>
      </c>
      <c r="Y39" s="3" t="str">
        <f t="shared" si="7"/>
        <v xml:space="preserve">NDIA </v>
      </c>
      <c r="Z39" s="3" t="str">
        <f t="shared" si="8"/>
        <v xml:space="preserve">DIA </v>
      </c>
      <c r="AA39" s="3" t="str">
        <f t="shared" si="9"/>
        <v xml:space="preserve"> SET I NDIA  DIA </v>
      </c>
      <c r="AB39" s="3" t="str">
        <f t="shared" si="10"/>
        <v>A - 1</v>
      </c>
      <c r="AC39" s="3" t="str">
        <f t="shared" si="11"/>
        <v xml:space="preserve"> SET Indib </v>
      </c>
      <c r="AD39" s="3" t="str">
        <f t="shared" si="12"/>
        <v xml:space="preserve"> SET IBBBBBB</v>
      </c>
      <c r="AE39" s="20" t="str">
        <f t="shared" si="13"/>
        <v xml:space="preserve"> SET</v>
      </c>
      <c r="AF39" s="3" t="str">
        <f t="shared" si="14"/>
        <v>India</v>
      </c>
    </row>
    <row r="40" spans="5:32" ht="15.6" thickTop="1" thickBot="1">
      <c r="E40" s="9"/>
      <c r="I40" s="10"/>
      <c r="M40" s="3">
        <v>38</v>
      </c>
      <c r="N40" s="3" t="s">
        <v>142</v>
      </c>
      <c r="O40" s="3" t="s">
        <v>87</v>
      </c>
      <c r="P40" s="3" t="s">
        <v>131</v>
      </c>
      <c r="Q40" s="3" t="s">
        <v>93</v>
      </c>
      <c r="R40" s="3" t="str">
        <f t="shared" si="0"/>
        <v>COCOMELON - NURSERY RHYMES</v>
      </c>
      <c r="S40" s="3" t="str">
        <f t="shared" si="1"/>
        <v>brazil</v>
      </c>
      <c r="T40" s="3" t="str">
        <f t="shared" si="2"/>
        <v>coComelon - Nursery rhymes</v>
      </c>
      <c r="U40" s="3" t="str">
        <f t="shared" si="3"/>
        <v>Cocomelon - Nursery Rhymes</v>
      </c>
      <c r="V40" s="3">
        <f t="shared" si="4"/>
        <v>23</v>
      </c>
      <c r="W40" s="3" t="str">
        <f t="shared" si="5"/>
        <v>coComelon - Nursery rhymes,Brazil</v>
      </c>
      <c r="X40" s="3" t="str">
        <f t="shared" si="6"/>
        <v>COCOME</v>
      </c>
      <c r="Y40" s="3" t="str">
        <f t="shared" si="7"/>
        <v>HYMES</v>
      </c>
      <c r="Z40" s="3" t="str">
        <f t="shared" si="8"/>
        <v xml:space="preserve">ON - </v>
      </c>
      <c r="AA40" s="3" t="str">
        <f t="shared" si="9"/>
        <v xml:space="preserve">COCOME HYMES ON - </v>
      </c>
      <c r="AB40" s="3" t="str">
        <f t="shared" si="10"/>
        <v>A - 0</v>
      </c>
      <c r="AC40" s="3" t="str">
        <f t="shared" si="11"/>
        <v>coComelon - Nursery rhymes</v>
      </c>
      <c r="AD40" s="3" t="str">
        <f t="shared" si="12"/>
        <v>coComeBBBBBBmes</v>
      </c>
      <c r="AE40" s="20" t="str">
        <f t="shared" si="13"/>
        <v>coComelon -</v>
      </c>
      <c r="AF40" s="3" t="str">
        <f t="shared" si="14"/>
        <v>rhymes</v>
      </c>
    </row>
    <row r="41" spans="5:32" ht="15.6" thickTop="1" thickBot="1">
      <c r="E41" s="9"/>
      <c r="I41" s="10"/>
      <c r="M41" s="3">
        <v>39</v>
      </c>
      <c r="N41" s="3" t="s">
        <v>150</v>
      </c>
      <c r="O41" s="3" t="s">
        <v>91</v>
      </c>
      <c r="P41" s="3" t="s">
        <v>103</v>
      </c>
      <c r="Q41" s="3" t="s">
        <v>109</v>
      </c>
      <c r="R41" s="3" t="str">
        <f t="shared" si="0"/>
        <v>BB KI VINES</v>
      </c>
      <c r="S41" s="3" t="str">
        <f t="shared" si="1"/>
        <v xml:space="preserve">india </v>
      </c>
      <c r="T41" s="3" t="str">
        <f t="shared" si="2"/>
        <v>BB Ki Vines</v>
      </c>
      <c r="U41" s="3" t="str">
        <f t="shared" si="3"/>
        <v>Bb Ki Vines</v>
      </c>
      <c r="V41" s="3">
        <f t="shared" si="4"/>
        <v>9</v>
      </c>
      <c r="W41" s="3" t="str">
        <f t="shared" si="5"/>
        <v xml:space="preserve">BB Ki Vines,India </v>
      </c>
      <c r="X41" s="3" t="str">
        <f t="shared" si="6"/>
        <v xml:space="preserve">BB KI </v>
      </c>
      <c r="Y41" s="3" t="str">
        <f t="shared" si="7"/>
        <v>VINES</v>
      </c>
      <c r="Z41" s="3" t="str">
        <f t="shared" si="8"/>
        <v>INES</v>
      </c>
      <c r="AA41" s="3" t="str">
        <f t="shared" si="9"/>
        <v>BB KI  VINES INES</v>
      </c>
      <c r="AB41" s="3" t="str">
        <f t="shared" si="10"/>
        <v>A - 0</v>
      </c>
      <c r="AC41" s="3" t="str">
        <f t="shared" si="11"/>
        <v>BB Ki Vines</v>
      </c>
      <c r="AD41" s="3" t="str">
        <f t="shared" si="12"/>
        <v>BB Ki BBBBBB</v>
      </c>
      <c r="AE41" s="20" t="str">
        <f t="shared" si="13"/>
        <v>BB Ki</v>
      </c>
      <c r="AF41" s="3" t="str">
        <f t="shared" si="14"/>
        <v>Vines</v>
      </c>
    </row>
    <row r="42" spans="5:32" ht="15.6" thickTop="1" thickBot="1">
      <c r="E42" s="9"/>
      <c r="I42" s="10"/>
      <c r="M42" s="3">
        <v>40</v>
      </c>
      <c r="N42" s="3" t="s">
        <v>151</v>
      </c>
      <c r="O42" s="3" t="s">
        <v>32</v>
      </c>
      <c r="P42" s="3" t="s">
        <v>126</v>
      </c>
      <c r="Q42" s="3" t="s">
        <v>93</v>
      </c>
      <c r="R42" s="3" t="str">
        <f t="shared" si="0"/>
        <v>PEWDIEPIE</v>
      </c>
      <c r="S42" s="3" t="str">
        <f t="shared" si="1"/>
        <v>canada</v>
      </c>
      <c r="T42" s="3" t="str">
        <f t="shared" si="2"/>
        <v>PEWdiePie</v>
      </c>
      <c r="U42" s="3" t="str">
        <f t="shared" si="3"/>
        <v>Pewdiepie</v>
      </c>
      <c r="V42" s="3">
        <f t="shared" si="4"/>
        <v>9</v>
      </c>
      <c r="W42" s="3" t="str">
        <f t="shared" si="5"/>
        <v>PEWdiePie,Canada</v>
      </c>
      <c r="X42" s="3" t="str">
        <f t="shared" si="6"/>
        <v>PEWDIE</v>
      </c>
      <c r="Y42" s="3" t="str">
        <f t="shared" si="7"/>
        <v>IEPIE</v>
      </c>
      <c r="Z42" s="3" t="str">
        <f t="shared" si="8"/>
        <v>IE</v>
      </c>
      <c r="AA42" s="3" t="str">
        <f t="shared" si="9"/>
        <v>PEWDIE IEPIE IE</v>
      </c>
      <c r="AB42" s="3" t="str">
        <f t="shared" si="10"/>
        <v>A - 0</v>
      </c>
      <c r="AC42" s="3" t="str">
        <f t="shared" si="11"/>
        <v>PEWdiePie</v>
      </c>
      <c r="AD42" s="3" t="str">
        <f t="shared" si="12"/>
        <v>PEWdieBBBBBB</v>
      </c>
      <c r="AE42" s="20" t="str">
        <f t="shared" si="13"/>
        <v>PEWdiePie</v>
      </c>
      <c r="AF42" s="3" t="str">
        <f t="shared" si="14"/>
        <v>PEWdiePie</v>
      </c>
    </row>
    <row r="43" spans="5:32" ht="15.6" thickTop="1" thickBot="1">
      <c r="E43" s="9"/>
      <c r="I43" s="10"/>
      <c r="M43" s="3">
        <v>41</v>
      </c>
      <c r="N43" s="3" t="s">
        <v>152</v>
      </c>
      <c r="O43" s="3" t="s">
        <v>116</v>
      </c>
      <c r="P43" s="3" t="s">
        <v>126</v>
      </c>
      <c r="Q43" s="3" t="s">
        <v>138</v>
      </c>
      <c r="R43" s="3" t="str">
        <f t="shared" si="0"/>
        <v>COCOMELON - NURSERY RHYMES</v>
      </c>
      <c r="S43" s="3" t="str">
        <f t="shared" si="1"/>
        <v xml:space="preserve"> united states </v>
      </c>
      <c r="T43" s="3" t="str">
        <f t="shared" si="2"/>
        <v>COCOMELON - NURSERY RHYMES</v>
      </c>
      <c r="U43" s="3" t="str">
        <f t="shared" si="3"/>
        <v>Cocomelon - Nursery Rhymes</v>
      </c>
      <c r="V43" s="3">
        <f t="shared" si="4"/>
        <v>23</v>
      </c>
      <c r="W43" s="3" t="str">
        <f t="shared" si="5"/>
        <v xml:space="preserve">COCOMELON - NURSERY RHYMES, United States </v>
      </c>
      <c r="X43" s="3" t="str">
        <f t="shared" si="6"/>
        <v>COCOME</v>
      </c>
      <c r="Y43" s="3" t="str">
        <f t="shared" si="7"/>
        <v>HYMES</v>
      </c>
      <c r="Z43" s="3" t="str">
        <f t="shared" si="8"/>
        <v xml:space="preserve">ON - </v>
      </c>
      <c r="AA43" s="3" t="str">
        <f t="shared" si="9"/>
        <v xml:space="preserve">COCOME HYMES ON - </v>
      </c>
      <c r="AB43" s="3" t="str">
        <f t="shared" si="10"/>
        <v>A - 0</v>
      </c>
      <c r="AC43" s="3" t="str">
        <f t="shared" si="11"/>
        <v>COCOMELON - NURSERY RHYMES</v>
      </c>
      <c r="AD43" s="3" t="str">
        <f t="shared" si="12"/>
        <v>COCOMEBBBBBBMES</v>
      </c>
      <c r="AE43" s="20" t="str">
        <f t="shared" si="13"/>
        <v>COCOMELON -</v>
      </c>
      <c r="AF43" s="3" t="str">
        <f t="shared" si="14"/>
        <v>RHYMES</v>
      </c>
    </row>
    <row r="44" spans="5:32" ht="15.6" thickTop="1" thickBot="1">
      <c r="E44" s="9"/>
      <c r="I44" s="10"/>
      <c r="M44" s="3">
        <v>42</v>
      </c>
      <c r="N44" s="3" t="s">
        <v>145</v>
      </c>
      <c r="O44" s="3" t="s">
        <v>87</v>
      </c>
      <c r="P44" s="3" t="s">
        <v>92</v>
      </c>
      <c r="Q44" s="3" t="s">
        <v>93</v>
      </c>
      <c r="R44" s="3" t="str">
        <f t="shared" si="0"/>
        <v>TECH BURNER</v>
      </c>
      <c r="S44" s="3" t="str">
        <f t="shared" si="1"/>
        <v>brazil</v>
      </c>
      <c r="T44" s="3" t="str">
        <f t="shared" si="2"/>
        <v>Tech Burner</v>
      </c>
      <c r="U44" s="3" t="str">
        <f t="shared" si="3"/>
        <v>Tech Burner</v>
      </c>
      <c r="V44" s="3">
        <f t="shared" si="4"/>
        <v>10</v>
      </c>
      <c r="W44" s="3" t="str">
        <f t="shared" si="5"/>
        <v>Tech Burner,Brazil</v>
      </c>
      <c r="X44" s="3" t="str">
        <f t="shared" si="6"/>
        <v>TECH B</v>
      </c>
      <c r="Y44" s="3" t="str">
        <f t="shared" si="7"/>
        <v>URNER</v>
      </c>
      <c r="Z44" s="3" t="str">
        <f t="shared" si="8"/>
        <v>RNER</v>
      </c>
      <c r="AA44" s="3" t="str">
        <f t="shared" si="9"/>
        <v>TECH B URNER RNER</v>
      </c>
      <c r="AB44" s="3" t="str">
        <f t="shared" si="10"/>
        <v>A - 0</v>
      </c>
      <c r="AC44" s="3" t="str">
        <f t="shared" si="11"/>
        <v>Tech Burner</v>
      </c>
      <c r="AD44" s="3" t="str">
        <f t="shared" si="12"/>
        <v>Tech BBBBBBB</v>
      </c>
      <c r="AE44" s="20" t="str">
        <f t="shared" si="13"/>
        <v>Tech Burner</v>
      </c>
      <c r="AF44" s="3" t="str">
        <f t="shared" si="14"/>
        <v>Burner</v>
      </c>
    </row>
    <row r="45" spans="5:32" ht="15.6" thickTop="1" thickBot="1">
      <c r="E45" s="9"/>
      <c r="I45" s="10"/>
      <c r="M45" s="3">
        <v>43</v>
      </c>
      <c r="N45" s="3" t="s">
        <v>153</v>
      </c>
      <c r="O45" s="3" t="s">
        <v>116</v>
      </c>
      <c r="P45" s="3" t="s">
        <v>126</v>
      </c>
      <c r="Q45" s="3" t="s">
        <v>124</v>
      </c>
      <c r="R45" s="3" t="str">
        <f t="shared" si="0"/>
        <v>PEWDIEPIE</v>
      </c>
      <c r="S45" s="3" t="str">
        <f t="shared" si="1"/>
        <v xml:space="preserve"> united states </v>
      </c>
      <c r="T45" s="3" t="str">
        <f t="shared" si="2"/>
        <v>PEWDIEPIE</v>
      </c>
      <c r="U45" s="3" t="str">
        <f t="shared" si="3"/>
        <v>Pewdiepie</v>
      </c>
      <c r="V45" s="3">
        <f t="shared" si="4"/>
        <v>9</v>
      </c>
      <c r="W45" s="3" t="str">
        <f t="shared" si="5"/>
        <v xml:space="preserve">PEWDIEPIE, United States </v>
      </c>
      <c r="X45" s="3" t="str">
        <f t="shared" si="6"/>
        <v>PEWDIE</v>
      </c>
      <c r="Y45" s="3" t="str">
        <f t="shared" si="7"/>
        <v>IEPIE</v>
      </c>
      <c r="Z45" s="3" t="str">
        <f t="shared" si="8"/>
        <v>IE</v>
      </c>
      <c r="AA45" s="3" t="str">
        <f t="shared" si="9"/>
        <v>PEWDIE IEPIE IE</v>
      </c>
      <c r="AB45" s="3" t="str">
        <f t="shared" si="10"/>
        <v>A - 0</v>
      </c>
      <c r="AC45" s="3" t="str">
        <f t="shared" si="11"/>
        <v>PEWDIEPIE</v>
      </c>
      <c r="AD45" s="3" t="str">
        <f t="shared" si="12"/>
        <v>PEWDIEBBBBBB</v>
      </c>
      <c r="AE45" s="20" t="str">
        <f t="shared" si="13"/>
        <v>PEWDIEPIE</v>
      </c>
      <c r="AF45" s="3" t="str">
        <f t="shared" si="14"/>
        <v>PEWDIEPIE</v>
      </c>
    </row>
    <row r="46" spans="5:32" ht="15.6" thickTop="1" thickBot="1">
      <c r="E46" s="9"/>
      <c r="I46" s="10"/>
      <c r="M46" s="3">
        <v>44</v>
      </c>
      <c r="N46" s="3" t="s">
        <v>86</v>
      </c>
      <c r="O46" s="3" t="s">
        <v>87</v>
      </c>
      <c r="P46" s="3" t="s">
        <v>136</v>
      </c>
      <c r="Q46" s="3" t="s">
        <v>97</v>
      </c>
      <c r="R46" s="3" t="str">
        <f t="shared" si="0"/>
        <v>MARKIPLIER</v>
      </c>
      <c r="S46" s="3" t="str">
        <f t="shared" si="1"/>
        <v>brazil</v>
      </c>
      <c r="T46" s="3" t="str">
        <f t="shared" si="2"/>
        <v>Markiplier</v>
      </c>
      <c r="U46" s="3" t="str">
        <f t="shared" si="3"/>
        <v>Markiplier</v>
      </c>
      <c r="V46" s="3">
        <f t="shared" si="4"/>
        <v>10</v>
      </c>
      <c r="W46" s="3" t="str">
        <f t="shared" si="5"/>
        <v>Markiplier,Brazil</v>
      </c>
      <c r="X46" s="3" t="str">
        <f t="shared" si="6"/>
        <v>MARKIP</v>
      </c>
      <c r="Y46" s="3" t="str">
        <f t="shared" si="7"/>
        <v>PLIER</v>
      </c>
      <c r="Z46" s="3" t="str">
        <f t="shared" si="8"/>
        <v>IER</v>
      </c>
      <c r="AA46" s="3" t="str">
        <f t="shared" si="9"/>
        <v>MARKIP PLIER IER</v>
      </c>
      <c r="AB46" s="3" t="str">
        <f t="shared" si="10"/>
        <v>A - 1</v>
      </c>
      <c r="AC46" s="3" t="str">
        <f t="shared" si="11"/>
        <v>Mbrkiplier</v>
      </c>
      <c r="AD46" s="3" t="str">
        <f t="shared" si="12"/>
        <v>MarkipBBBBBB</v>
      </c>
      <c r="AE46" s="20" t="str">
        <f t="shared" si="13"/>
        <v>Markiplier</v>
      </c>
      <c r="AF46" s="3" t="str">
        <f t="shared" si="14"/>
        <v>Markiplier</v>
      </c>
    </row>
    <row r="47" spans="5:32" ht="15.6" thickTop="1" thickBot="1">
      <c r="E47" s="9"/>
      <c r="I47" s="10"/>
      <c r="M47" s="3">
        <v>45</v>
      </c>
      <c r="N47" s="3" t="s">
        <v>154</v>
      </c>
      <c r="O47" s="3" t="s">
        <v>44</v>
      </c>
      <c r="P47" s="3" t="s">
        <v>136</v>
      </c>
      <c r="Q47" s="3" t="s">
        <v>124</v>
      </c>
      <c r="R47" s="3" t="str">
        <f t="shared" si="0"/>
        <v>DESI GAMERS</v>
      </c>
      <c r="S47" s="3" t="str">
        <f t="shared" si="1"/>
        <v>japan</v>
      </c>
      <c r="T47" s="3" t="str">
        <f t="shared" si="2"/>
        <v>Desi Gamers</v>
      </c>
      <c r="U47" s="3" t="str">
        <f t="shared" si="3"/>
        <v>Desi Gamers</v>
      </c>
      <c r="V47" s="3">
        <f t="shared" si="4"/>
        <v>10</v>
      </c>
      <c r="W47" s="3" t="str">
        <f t="shared" si="5"/>
        <v>Desi Gamers,Japan</v>
      </c>
      <c r="X47" s="3" t="str">
        <f t="shared" si="6"/>
        <v>DESI G</v>
      </c>
      <c r="Y47" s="3" t="str">
        <f t="shared" si="7"/>
        <v>AMERS</v>
      </c>
      <c r="Z47" s="3" t="str">
        <f t="shared" si="8"/>
        <v>MERS</v>
      </c>
      <c r="AA47" s="3" t="str">
        <f t="shared" si="9"/>
        <v>DESI G AMERS MERS</v>
      </c>
      <c r="AB47" s="3" t="str">
        <f t="shared" si="10"/>
        <v>A - 1</v>
      </c>
      <c r="AC47" s="3" t="str">
        <f t="shared" si="11"/>
        <v>Desi Gbmers</v>
      </c>
      <c r="AD47" s="3" t="str">
        <f t="shared" si="12"/>
        <v>Desi GBBBBBB</v>
      </c>
      <c r="AE47" s="20" t="str">
        <f t="shared" si="13"/>
        <v>Desi Gamers</v>
      </c>
      <c r="AF47" s="3" t="str">
        <f t="shared" si="14"/>
        <v>Gamers</v>
      </c>
    </row>
    <row r="48" spans="5:32" ht="15.6" thickTop="1" thickBot="1">
      <c r="E48" s="9"/>
      <c r="I48" s="10"/>
      <c r="M48" s="3">
        <v>46</v>
      </c>
      <c r="N48" s="3" t="s">
        <v>155</v>
      </c>
      <c r="O48" s="3" t="s">
        <v>116</v>
      </c>
      <c r="P48" s="3" t="s">
        <v>103</v>
      </c>
      <c r="Q48" s="3" t="s">
        <v>99</v>
      </c>
      <c r="R48" s="3" t="str">
        <f t="shared" si="0"/>
        <v>VANOSSGAMING</v>
      </c>
      <c r="S48" s="3" t="str">
        <f t="shared" si="1"/>
        <v xml:space="preserve"> united states </v>
      </c>
      <c r="T48" s="3" t="str">
        <f t="shared" si="2"/>
        <v>VANOSSGAMING</v>
      </c>
      <c r="U48" s="3" t="str">
        <f t="shared" si="3"/>
        <v>Vanossgaming</v>
      </c>
      <c r="V48" s="3">
        <f t="shared" si="4"/>
        <v>12</v>
      </c>
      <c r="W48" s="3" t="str">
        <f t="shared" si="5"/>
        <v xml:space="preserve">VANOSSGAMING, United States </v>
      </c>
      <c r="X48" s="3" t="str">
        <f t="shared" si="6"/>
        <v>VANOSS</v>
      </c>
      <c r="Y48" s="3" t="str">
        <f t="shared" si="7"/>
        <v>AMING</v>
      </c>
      <c r="Z48" s="3" t="str">
        <f t="shared" si="8"/>
        <v>AMING</v>
      </c>
      <c r="AA48" s="3" t="str">
        <f t="shared" si="9"/>
        <v>VANOSS AMING AMING</v>
      </c>
      <c r="AB48" s="3" t="str">
        <f t="shared" si="10"/>
        <v>A - 2</v>
      </c>
      <c r="AC48" s="3" t="str">
        <f t="shared" si="11"/>
        <v>VANOSSGAMING</v>
      </c>
      <c r="AD48" s="3" t="str">
        <f t="shared" si="12"/>
        <v>VANOSSBBBBBB</v>
      </c>
      <c r="AE48" s="20" t="str">
        <f t="shared" si="13"/>
        <v>VANOSSGAMING</v>
      </c>
      <c r="AF48" s="3" t="str">
        <f t="shared" si="14"/>
        <v>VANOSSGAMING</v>
      </c>
    </row>
    <row r="49" spans="5:32" ht="15.6" thickTop="1" thickBot="1">
      <c r="E49" s="9"/>
      <c r="I49" s="10"/>
      <c r="M49" s="3">
        <v>47</v>
      </c>
      <c r="N49" s="3" t="s">
        <v>156</v>
      </c>
      <c r="O49" s="3" t="s">
        <v>32</v>
      </c>
      <c r="P49" s="3" t="s">
        <v>88</v>
      </c>
      <c r="Q49" s="3" t="s">
        <v>99</v>
      </c>
      <c r="R49" s="3" t="str">
        <f t="shared" si="0"/>
        <v xml:space="preserve">TECH BURNER  </v>
      </c>
      <c r="S49" s="3" t="str">
        <f t="shared" si="1"/>
        <v>canada</v>
      </c>
      <c r="T49" s="3" t="str">
        <f t="shared" si="2"/>
        <v>Tech Burner</v>
      </c>
      <c r="U49" s="3" t="str">
        <f t="shared" si="3"/>
        <v>Tech Burner</v>
      </c>
      <c r="V49" s="3">
        <f t="shared" si="4"/>
        <v>10</v>
      </c>
      <c r="W49" s="3" t="str">
        <f t="shared" si="5"/>
        <v>Tech Burner  ,Canada</v>
      </c>
      <c r="X49" s="3" t="str">
        <f t="shared" si="6"/>
        <v>TECH B</v>
      </c>
      <c r="Y49" s="3" t="str">
        <f t="shared" si="7"/>
        <v xml:space="preserve">NER  </v>
      </c>
      <c r="Z49" s="3" t="str">
        <f t="shared" si="8"/>
        <v xml:space="preserve">RNER </v>
      </c>
      <c r="AA49" s="3" t="str">
        <f t="shared" si="9"/>
        <v xml:space="preserve">TECH B NER   RNER </v>
      </c>
      <c r="AB49" s="3" t="str">
        <f t="shared" si="10"/>
        <v>A - 0</v>
      </c>
      <c r="AC49" s="3" t="str">
        <f t="shared" si="11"/>
        <v xml:space="preserve">Tech Burner  </v>
      </c>
      <c r="AD49" s="3" t="str">
        <f t="shared" si="12"/>
        <v>Tech BBBBBBB</v>
      </c>
      <c r="AE49" s="20" t="str">
        <f t="shared" si="13"/>
        <v>Tech Burner</v>
      </c>
      <c r="AF49" s="3" t="str">
        <f t="shared" si="14"/>
        <v>Burner</v>
      </c>
    </row>
    <row r="50" spans="5:32" ht="15.6" thickTop="1" thickBot="1">
      <c r="E50" s="9"/>
      <c r="I50" s="10"/>
      <c r="M50" s="3">
        <v>48</v>
      </c>
      <c r="N50" s="3" t="s">
        <v>151</v>
      </c>
      <c r="O50" s="3" t="s">
        <v>116</v>
      </c>
      <c r="P50" s="3" t="s">
        <v>92</v>
      </c>
      <c r="Q50" s="3" t="s">
        <v>99</v>
      </c>
      <c r="R50" s="3" t="str">
        <f t="shared" si="0"/>
        <v>PEWDIEPIE</v>
      </c>
      <c r="S50" s="3" t="str">
        <f t="shared" si="1"/>
        <v xml:space="preserve"> united states </v>
      </c>
      <c r="T50" s="3" t="str">
        <f t="shared" si="2"/>
        <v>PEWdiePie</v>
      </c>
      <c r="U50" s="3" t="str">
        <f t="shared" si="3"/>
        <v>Pewdiepie</v>
      </c>
      <c r="V50" s="3">
        <f t="shared" si="4"/>
        <v>9</v>
      </c>
      <c r="W50" s="3" t="str">
        <f t="shared" si="5"/>
        <v xml:space="preserve">PEWdiePie, United States </v>
      </c>
      <c r="X50" s="3" t="str">
        <f t="shared" si="6"/>
        <v>PEWDIE</v>
      </c>
      <c r="Y50" s="3" t="str">
        <f t="shared" si="7"/>
        <v>IEPIE</v>
      </c>
      <c r="Z50" s="3" t="str">
        <f t="shared" si="8"/>
        <v>IE</v>
      </c>
      <c r="AA50" s="3" t="str">
        <f t="shared" si="9"/>
        <v>PEWDIE IEPIE IE</v>
      </c>
      <c r="AB50" s="3" t="str">
        <f t="shared" si="10"/>
        <v>A - 0</v>
      </c>
      <c r="AC50" s="3" t="str">
        <f t="shared" si="11"/>
        <v>PEWdiePie</v>
      </c>
      <c r="AD50" s="3" t="str">
        <f t="shared" si="12"/>
        <v>PEWdieBBBBBB</v>
      </c>
      <c r="AE50" s="20" t="str">
        <f t="shared" si="13"/>
        <v>PEWdiePie</v>
      </c>
      <c r="AF50" s="3" t="str">
        <f t="shared" si="14"/>
        <v>PEWdiePie</v>
      </c>
    </row>
    <row r="51" spans="5:32" ht="15.6" thickTop="1" thickBot="1">
      <c r="E51" s="9"/>
      <c r="I51" s="10"/>
      <c r="M51" s="3">
        <v>49</v>
      </c>
      <c r="N51" s="3" t="s">
        <v>157</v>
      </c>
      <c r="O51" s="3" t="s">
        <v>116</v>
      </c>
      <c r="P51" s="3" t="s">
        <v>103</v>
      </c>
      <c r="Q51" s="3" t="s">
        <v>124</v>
      </c>
      <c r="R51" s="3" t="str">
        <f t="shared" si="0"/>
        <v>5-MINUTE CRAFTS</v>
      </c>
      <c r="S51" s="3" t="str">
        <f t="shared" si="1"/>
        <v xml:space="preserve"> united states </v>
      </c>
      <c r="T51" s="3" t="str">
        <f t="shared" si="2"/>
        <v>5-MINUTE CRAFTS</v>
      </c>
      <c r="U51" s="3" t="str">
        <f t="shared" si="3"/>
        <v>5-Minute Crafts</v>
      </c>
      <c r="V51" s="3">
        <f t="shared" si="4"/>
        <v>14</v>
      </c>
      <c r="W51" s="3" t="str">
        <f t="shared" si="5"/>
        <v xml:space="preserve">5-MINUTE CRAFTS, United States </v>
      </c>
      <c r="X51" s="3" t="str">
        <f t="shared" si="6"/>
        <v>5-MINU</v>
      </c>
      <c r="Y51" s="3" t="str">
        <f t="shared" si="7"/>
        <v>RAFTS</v>
      </c>
      <c r="Z51" s="3" t="str">
        <f t="shared" si="8"/>
        <v>E CRA</v>
      </c>
      <c r="AA51" s="3" t="str">
        <f t="shared" si="9"/>
        <v>5-MINU RAFTS E CRA</v>
      </c>
      <c r="AB51" s="3" t="str">
        <f t="shared" si="10"/>
        <v>A - 1</v>
      </c>
      <c r="AC51" s="3" t="str">
        <f t="shared" si="11"/>
        <v>5-MINUTE CRAFTS</v>
      </c>
      <c r="AD51" s="3" t="str">
        <f t="shared" si="12"/>
        <v>5-MINUBBBBBB</v>
      </c>
      <c r="AE51" s="20" t="str">
        <f t="shared" si="13"/>
        <v>5-MINUTE CRAFTS</v>
      </c>
      <c r="AF51" s="3" t="str">
        <f t="shared" si="14"/>
        <v>CRAFTS</v>
      </c>
    </row>
    <row r="52" spans="5:32" ht="15.6" thickTop="1" thickBot="1">
      <c r="E52" s="9"/>
      <c r="I52" s="10"/>
      <c r="M52" s="3">
        <v>50</v>
      </c>
      <c r="N52" s="3" t="s">
        <v>106</v>
      </c>
      <c r="O52" s="3" t="s">
        <v>122</v>
      </c>
      <c r="P52" s="3" t="s">
        <v>136</v>
      </c>
      <c r="Q52" s="3" t="s">
        <v>99</v>
      </c>
      <c r="R52" s="3" t="str">
        <f t="shared" si="0"/>
        <v>MYSMARTPRICE</v>
      </c>
      <c r="S52" s="3" t="str">
        <f t="shared" si="1"/>
        <v>usa</v>
      </c>
      <c r="T52" s="3" t="str">
        <f t="shared" si="2"/>
        <v>MySmartPrice</v>
      </c>
      <c r="U52" s="3" t="str">
        <f t="shared" si="3"/>
        <v>Mysmartprice</v>
      </c>
      <c r="V52" s="3">
        <f t="shared" si="4"/>
        <v>12</v>
      </c>
      <c r="W52" s="3" t="str">
        <f t="shared" si="5"/>
        <v>MySmartPrice,USA</v>
      </c>
      <c r="X52" s="3" t="str">
        <f t="shared" si="6"/>
        <v>MYSMAR</v>
      </c>
      <c r="Y52" s="3" t="str">
        <f t="shared" si="7"/>
        <v>PRICE</v>
      </c>
      <c r="Z52" s="3" t="str">
        <f t="shared" si="8"/>
        <v>PRICE</v>
      </c>
      <c r="AA52" s="3" t="str">
        <f t="shared" si="9"/>
        <v>MYSMAR PRICE PRICE</v>
      </c>
      <c r="AB52" s="3" t="str">
        <f t="shared" si="10"/>
        <v>A - 1</v>
      </c>
      <c r="AC52" s="3" t="str">
        <f t="shared" si="11"/>
        <v>MySmbrtPrice</v>
      </c>
      <c r="AD52" s="3" t="str">
        <f t="shared" si="12"/>
        <v>MySmarBBBBBB</v>
      </c>
      <c r="AE52" s="20" t="str">
        <f t="shared" si="13"/>
        <v>MySmartPrice</v>
      </c>
      <c r="AF52" s="3" t="str">
        <f t="shared" si="14"/>
        <v>MySmartPrice</v>
      </c>
    </row>
    <row r="53" spans="5:32" ht="15.6" thickTop="1" thickBot="1">
      <c r="E53" s="9"/>
      <c r="I53" s="10"/>
      <c r="M53" s="3">
        <v>51</v>
      </c>
      <c r="N53" s="3" t="s">
        <v>151</v>
      </c>
      <c r="O53" s="3" t="s">
        <v>102</v>
      </c>
      <c r="P53" s="3" t="s">
        <v>119</v>
      </c>
      <c r="Q53" s="3" t="s">
        <v>97</v>
      </c>
      <c r="R53" s="3" t="str">
        <f t="shared" si="0"/>
        <v>PEWDIEPIE</v>
      </c>
      <c r="S53" s="3" t="str">
        <f t="shared" si="1"/>
        <v xml:space="preserve"> united kingdom</v>
      </c>
      <c r="T53" s="3" t="str">
        <f t="shared" si="2"/>
        <v>PEWdiePie</v>
      </c>
      <c r="U53" s="3" t="str">
        <f t="shared" si="3"/>
        <v>Pewdiepie</v>
      </c>
      <c r="V53" s="3">
        <f t="shared" si="4"/>
        <v>9</v>
      </c>
      <c r="W53" s="3" t="str">
        <f t="shared" si="5"/>
        <v>PEWdiePie, united kingdom</v>
      </c>
      <c r="X53" s="3" t="str">
        <f t="shared" si="6"/>
        <v>PEWDIE</v>
      </c>
      <c r="Y53" s="3" t="str">
        <f t="shared" si="7"/>
        <v>IEPIE</v>
      </c>
      <c r="Z53" s="3" t="str">
        <f t="shared" si="8"/>
        <v>IE</v>
      </c>
      <c r="AA53" s="3" t="str">
        <f t="shared" si="9"/>
        <v>PEWDIE IEPIE IE</v>
      </c>
      <c r="AB53" s="3" t="str">
        <f t="shared" si="10"/>
        <v>A - 0</v>
      </c>
      <c r="AC53" s="3" t="str">
        <f t="shared" si="11"/>
        <v>PEWdiePie</v>
      </c>
      <c r="AD53" s="3" t="str">
        <f t="shared" si="12"/>
        <v>PEWdieBBBBBB</v>
      </c>
      <c r="AE53" s="20" t="str">
        <f t="shared" si="13"/>
        <v>PEWdiePie</v>
      </c>
      <c r="AF53" s="3" t="str">
        <f t="shared" si="14"/>
        <v>PEWdiePie</v>
      </c>
    </row>
    <row r="54" spans="5:32" ht="15.6" thickTop="1" thickBot="1">
      <c r="E54" s="9"/>
      <c r="I54" s="10"/>
      <c r="M54" s="3">
        <v>52</v>
      </c>
      <c r="N54" s="3" t="s">
        <v>142</v>
      </c>
      <c r="O54" s="3" t="s">
        <v>24</v>
      </c>
      <c r="P54" s="3" t="s">
        <v>136</v>
      </c>
      <c r="Q54" s="3" t="s">
        <v>124</v>
      </c>
      <c r="R54" s="3" t="str">
        <f t="shared" si="0"/>
        <v>COCOMELON - NURSERY RHYMES</v>
      </c>
      <c r="S54" s="3" t="str">
        <f t="shared" si="1"/>
        <v>india</v>
      </c>
      <c r="T54" s="3" t="str">
        <f t="shared" si="2"/>
        <v>coComelon - Nursery rhymes</v>
      </c>
      <c r="U54" s="3" t="str">
        <f t="shared" si="3"/>
        <v>Cocomelon - Nursery Rhymes</v>
      </c>
      <c r="V54" s="3">
        <f t="shared" si="4"/>
        <v>23</v>
      </c>
      <c r="W54" s="3" t="str">
        <f t="shared" si="5"/>
        <v>coComelon - Nursery rhymes,India</v>
      </c>
      <c r="X54" s="3" t="str">
        <f t="shared" si="6"/>
        <v>COCOME</v>
      </c>
      <c r="Y54" s="3" t="str">
        <f t="shared" si="7"/>
        <v>HYMES</v>
      </c>
      <c r="Z54" s="3" t="str">
        <f t="shared" si="8"/>
        <v xml:space="preserve">ON - </v>
      </c>
      <c r="AA54" s="3" t="str">
        <f t="shared" si="9"/>
        <v xml:space="preserve">COCOME HYMES ON - </v>
      </c>
      <c r="AB54" s="3" t="str">
        <f t="shared" si="10"/>
        <v>A - 0</v>
      </c>
      <c r="AC54" s="3" t="str">
        <f t="shared" si="11"/>
        <v>coComelon - Nursery rhymes</v>
      </c>
      <c r="AD54" s="3" t="str">
        <f t="shared" si="12"/>
        <v>coComeBBBBBBmes</v>
      </c>
      <c r="AE54" s="20" t="str">
        <f t="shared" si="13"/>
        <v>coComelon -</v>
      </c>
      <c r="AF54" s="3" t="str">
        <f t="shared" si="14"/>
        <v>rhymes</v>
      </c>
    </row>
    <row r="55" spans="5:32" ht="15.6" thickTop="1" thickBot="1">
      <c r="E55" s="9"/>
      <c r="I55" s="10"/>
      <c r="M55" s="3">
        <v>53</v>
      </c>
      <c r="N55" s="3" t="s">
        <v>121</v>
      </c>
      <c r="O55" s="3" t="s">
        <v>44</v>
      </c>
      <c r="P55" s="3" t="s">
        <v>126</v>
      </c>
      <c r="Q55" s="3" t="s">
        <v>138</v>
      </c>
      <c r="R55" s="3" t="str">
        <f t="shared" si="0"/>
        <v>SONY MUSIC INDIA</v>
      </c>
      <c r="S55" s="3" t="str">
        <f t="shared" si="1"/>
        <v>japan</v>
      </c>
      <c r="T55" s="3" t="str">
        <f t="shared" si="2"/>
        <v>Sony Music INDIA</v>
      </c>
      <c r="U55" s="3" t="str">
        <f t="shared" si="3"/>
        <v>Sony Music India</v>
      </c>
      <c r="V55" s="3">
        <f t="shared" si="4"/>
        <v>14</v>
      </c>
      <c r="W55" s="3" t="str">
        <f t="shared" si="5"/>
        <v>Sony Music INDIA,Japan</v>
      </c>
      <c r="X55" s="3" t="str">
        <f t="shared" si="6"/>
        <v>SONY M</v>
      </c>
      <c r="Y55" s="3" t="str">
        <f t="shared" si="7"/>
        <v>INDIA</v>
      </c>
      <c r="Z55" s="3" t="str">
        <f t="shared" si="8"/>
        <v>SIC I</v>
      </c>
      <c r="AA55" s="3" t="str">
        <f t="shared" si="9"/>
        <v>SONY M INDIA SIC I</v>
      </c>
      <c r="AB55" s="3" t="str">
        <f t="shared" si="10"/>
        <v>A - 1</v>
      </c>
      <c r="AC55" s="3" t="str">
        <f t="shared" si="11"/>
        <v>Sony Music INDIA</v>
      </c>
      <c r="AD55" s="3" t="str">
        <f t="shared" si="12"/>
        <v>Sony MBBBBBB</v>
      </c>
      <c r="AE55" s="20" t="str">
        <f t="shared" si="13"/>
        <v>Sony Music</v>
      </c>
      <c r="AF55" s="3" t="str">
        <f t="shared" si="14"/>
        <v>INDIA</v>
      </c>
    </row>
    <row r="56" spans="5:32" ht="15.6" thickTop="1" thickBot="1">
      <c r="E56" s="9"/>
      <c r="I56" s="10"/>
      <c r="M56" s="3">
        <v>54</v>
      </c>
      <c r="N56" s="3" t="s">
        <v>141</v>
      </c>
      <c r="O56" s="3" t="s">
        <v>107</v>
      </c>
      <c r="P56" s="3" t="s">
        <v>88</v>
      </c>
      <c r="Q56" s="3" t="s">
        <v>97</v>
      </c>
      <c r="R56" s="3" t="str">
        <f t="shared" si="0"/>
        <v>VANOSSGAMING</v>
      </c>
      <c r="S56" s="3" t="str">
        <f t="shared" si="1"/>
        <v>sweden</v>
      </c>
      <c r="T56" s="3" t="str">
        <f t="shared" si="2"/>
        <v>VanossGaming</v>
      </c>
      <c r="U56" s="3" t="str">
        <f t="shared" si="3"/>
        <v>Vanossgaming</v>
      </c>
      <c r="V56" s="3">
        <f t="shared" si="4"/>
        <v>12</v>
      </c>
      <c r="W56" s="3" t="str">
        <f t="shared" si="5"/>
        <v>VanossGaming,Sweden</v>
      </c>
      <c r="X56" s="3" t="str">
        <f t="shared" si="6"/>
        <v>VANOSS</v>
      </c>
      <c r="Y56" s="3" t="str">
        <f t="shared" si="7"/>
        <v>AMING</v>
      </c>
      <c r="Z56" s="3" t="str">
        <f t="shared" si="8"/>
        <v>AMING</v>
      </c>
      <c r="AA56" s="3" t="str">
        <f t="shared" si="9"/>
        <v>VANOSS AMING AMING</v>
      </c>
      <c r="AB56" s="3" t="str">
        <f t="shared" si="10"/>
        <v>A - 2</v>
      </c>
      <c r="AC56" s="3" t="str">
        <f t="shared" si="11"/>
        <v>VbnossGbming</v>
      </c>
      <c r="AD56" s="3" t="str">
        <f t="shared" si="12"/>
        <v>VanossBBBBBB</v>
      </c>
      <c r="AE56" s="20" t="str">
        <f t="shared" si="13"/>
        <v>VanossGaming</v>
      </c>
      <c r="AF56" s="3" t="str">
        <f t="shared" si="14"/>
        <v>VanossGaming</v>
      </c>
    </row>
    <row r="57" spans="5:32" ht="15.6" thickTop="1" thickBot="1">
      <c r="E57" s="9"/>
      <c r="I57" s="10"/>
      <c r="M57" s="3">
        <v>55</v>
      </c>
      <c r="N57" s="3" t="s">
        <v>101</v>
      </c>
      <c r="O57" s="3" t="s">
        <v>91</v>
      </c>
      <c r="P57" s="3" t="s">
        <v>96</v>
      </c>
      <c r="Q57" s="3" t="s">
        <v>109</v>
      </c>
      <c r="R57" s="3" t="str">
        <f t="shared" si="0"/>
        <v>TRIGGERED INSAAN</v>
      </c>
      <c r="S57" s="3" t="str">
        <f t="shared" si="1"/>
        <v xml:space="preserve">india </v>
      </c>
      <c r="T57" s="3" t="str">
        <f t="shared" si="2"/>
        <v>Triggered Insaan</v>
      </c>
      <c r="U57" s="3" t="str">
        <f t="shared" si="3"/>
        <v>Triggered Insaan</v>
      </c>
      <c r="V57" s="3">
        <f t="shared" si="4"/>
        <v>15</v>
      </c>
      <c r="W57" s="3" t="str">
        <f t="shared" si="5"/>
        <v xml:space="preserve">Triggered Insaan,India </v>
      </c>
      <c r="X57" s="3" t="str">
        <f t="shared" si="6"/>
        <v>TRIGGE</v>
      </c>
      <c r="Y57" s="3" t="str">
        <f t="shared" si="7"/>
        <v>NSAAN</v>
      </c>
      <c r="Z57" s="3" t="str">
        <f t="shared" si="8"/>
        <v>ED IN</v>
      </c>
      <c r="AA57" s="3" t="str">
        <f t="shared" si="9"/>
        <v>TRIGGE NSAAN ED IN</v>
      </c>
      <c r="AB57" s="3" t="str">
        <f t="shared" si="10"/>
        <v>A - 2</v>
      </c>
      <c r="AC57" s="3" t="str">
        <f t="shared" si="11"/>
        <v>Triggered Insbbn</v>
      </c>
      <c r="AD57" s="3" t="str">
        <f t="shared" si="12"/>
        <v>TriggeBBBBBB</v>
      </c>
      <c r="AE57" s="20" t="str">
        <f t="shared" si="13"/>
        <v>Triggered Insaan</v>
      </c>
      <c r="AF57" s="3" t="str">
        <f t="shared" si="14"/>
        <v>Insaan</v>
      </c>
    </row>
    <row r="58" spans="5:32" ht="15.6" thickTop="1" thickBot="1">
      <c r="E58" s="9"/>
      <c r="I58" s="10"/>
      <c r="M58" s="3">
        <v>56</v>
      </c>
      <c r="N58" s="3" t="s">
        <v>158</v>
      </c>
      <c r="O58" s="3" t="s">
        <v>95</v>
      </c>
      <c r="P58" s="3" t="s">
        <v>126</v>
      </c>
      <c r="Q58" s="3" t="s">
        <v>124</v>
      </c>
      <c r="R58" s="3" t="str">
        <f t="shared" si="0"/>
        <v>BADABUN</v>
      </c>
      <c r="S58" s="3" t="str">
        <f t="shared" si="1"/>
        <v>mexico</v>
      </c>
      <c r="T58" s="3" t="str">
        <f t="shared" si="2"/>
        <v>Badabun</v>
      </c>
      <c r="U58" s="3" t="str">
        <f t="shared" si="3"/>
        <v>Badabun</v>
      </c>
      <c r="V58" s="3">
        <f t="shared" si="4"/>
        <v>7</v>
      </c>
      <c r="W58" s="3" t="str">
        <f t="shared" si="5"/>
        <v>Badabun,Mexico</v>
      </c>
      <c r="X58" s="3" t="str">
        <f t="shared" si="6"/>
        <v>BADABU</v>
      </c>
      <c r="Y58" s="3" t="str">
        <f t="shared" si="7"/>
        <v>DABUN</v>
      </c>
      <c r="Z58" s="3" t="str">
        <f t="shared" si="8"/>
        <v/>
      </c>
      <c r="AA58" s="3" t="str">
        <f t="shared" si="9"/>
        <v xml:space="preserve">BADABU DABUN </v>
      </c>
      <c r="AB58" s="3" t="str">
        <f t="shared" si="10"/>
        <v>A - 2</v>
      </c>
      <c r="AC58" s="3" t="str">
        <f t="shared" si="11"/>
        <v>Bbdbbun</v>
      </c>
      <c r="AD58" s="3" t="str">
        <f t="shared" si="12"/>
        <v>BadabuBBBBBB</v>
      </c>
      <c r="AE58" s="20" t="str">
        <f t="shared" si="13"/>
        <v>Badabun</v>
      </c>
      <c r="AF58" s="3" t="str">
        <f t="shared" si="14"/>
        <v>Badabun</v>
      </c>
    </row>
    <row r="59" spans="5:32" ht="15.6" thickTop="1" thickBot="1">
      <c r="E59" s="9"/>
      <c r="I59" s="10"/>
      <c r="M59" s="3">
        <v>57</v>
      </c>
      <c r="N59" s="3" t="s">
        <v>159</v>
      </c>
      <c r="O59" s="3" t="s">
        <v>116</v>
      </c>
      <c r="P59" s="3" t="s">
        <v>88</v>
      </c>
      <c r="Q59" s="3" t="s">
        <v>89</v>
      </c>
      <c r="R59" s="3" t="str">
        <f t="shared" si="0"/>
        <v>ROUND2HELL</v>
      </c>
      <c r="S59" s="3" t="str">
        <f t="shared" si="1"/>
        <v xml:space="preserve"> united states </v>
      </c>
      <c r="T59" s="3" t="str">
        <f t="shared" si="2"/>
        <v>round2hell</v>
      </c>
      <c r="U59" s="3" t="str">
        <f t="shared" si="3"/>
        <v>Round2Hell</v>
      </c>
      <c r="V59" s="3">
        <f t="shared" si="4"/>
        <v>10</v>
      </c>
      <c r="W59" s="3" t="str">
        <f t="shared" si="5"/>
        <v xml:space="preserve">round2hell, United States </v>
      </c>
      <c r="X59" s="3" t="str">
        <f t="shared" si="6"/>
        <v>ROUND2</v>
      </c>
      <c r="Y59" s="3" t="str">
        <f t="shared" si="7"/>
        <v>2HELL</v>
      </c>
      <c r="Z59" s="3" t="str">
        <f t="shared" si="8"/>
        <v>ELL</v>
      </c>
      <c r="AA59" s="3" t="str">
        <f t="shared" si="9"/>
        <v>ROUND2 2HELL ELL</v>
      </c>
      <c r="AB59" s="3" t="str">
        <f t="shared" si="10"/>
        <v>A - 0</v>
      </c>
      <c r="AC59" s="3" t="str">
        <f t="shared" si="11"/>
        <v>round2hell</v>
      </c>
      <c r="AD59" s="3" t="str">
        <f t="shared" si="12"/>
        <v>round2BBBBBB</v>
      </c>
      <c r="AE59" s="20" t="str">
        <f t="shared" si="13"/>
        <v>round2hell</v>
      </c>
      <c r="AF59" s="3" t="str">
        <f t="shared" si="14"/>
        <v>round2hell</v>
      </c>
    </row>
    <row r="60" spans="5:32" ht="15.6" thickTop="1" thickBot="1">
      <c r="E60" s="9"/>
      <c r="I60" s="10"/>
      <c r="M60" s="3">
        <v>58</v>
      </c>
      <c r="N60" s="3" t="s">
        <v>160</v>
      </c>
      <c r="O60" s="3" t="s">
        <v>95</v>
      </c>
      <c r="P60" s="3" t="s">
        <v>108</v>
      </c>
      <c r="Q60" s="3" t="s">
        <v>89</v>
      </c>
      <c r="R60" s="3" t="str">
        <f t="shared" si="0"/>
        <v>KIDS DIANA SHOW</v>
      </c>
      <c r="S60" s="3" t="str">
        <f t="shared" si="1"/>
        <v>mexico</v>
      </c>
      <c r="T60" s="3" t="str">
        <f t="shared" si="2"/>
        <v>KIDS DIANA SHOW</v>
      </c>
      <c r="U60" s="3" t="str">
        <f t="shared" si="3"/>
        <v>Kids Diana Show</v>
      </c>
      <c r="V60" s="3">
        <f t="shared" si="4"/>
        <v>13</v>
      </c>
      <c r="W60" s="3" t="str">
        <f t="shared" si="5"/>
        <v>KIDS DIANA SHOW,Mexico</v>
      </c>
      <c r="X60" s="3" t="str">
        <f t="shared" si="6"/>
        <v>KIDS D</v>
      </c>
      <c r="Y60" s="3" t="str">
        <f t="shared" si="7"/>
        <v xml:space="preserve"> SHOW</v>
      </c>
      <c r="Z60" s="3" t="str">
        <f t="shared" si="8"/>
        <v>ANA S</v>
      </c>
      <c r="AA60" s="3" t="str">
        <f t="shared" si="9"/>
        <v>KIDS D  SHOW ANA S</v>
      </c>
      <c r="AB60" s="3" t="str">
        <f t="shared" si="10"/>
        <v>A - 2</v>
      </c>
      <c r="AC60" s="3" t="str">
        <f t="shared" si="11"/>
        <v>KIDS DIANA SHOW</v>
      </c>
      <c r="AD60" s="3" t="str">
        <f t="shared" si="12"/>
        <v>KIDS DBBBBBB</v>
      </c>
      <c r="AE60" s="20" t="str">
        <f t="shared" si="13"/>
        <v>KIDS DIANA</v>
      </c>
      <c r="AF60" s="3" t="str">
        <f t="shared" si="14"/>
        <v>SHOW</v>
      </c>
    </row>
    <row r="61" spans="5:32" ht="15.6" thickTop="1" thickBot="1">
      <c r="E61" s="9"/>
      <c r="I61" s="10"/>
      <c r="M61" s="3">
        <v>59</v>
      </c>
      <c r="N61" s="3" t="s">
        <v>161</v>
      </c>
      <c r="O61" s="3" t="s">
        <v>116</v>
      </c>
      <c r="P61" s="3" t="s">
        <v>119</v>
      </c>
      <c r="Q61" s="3" t="s">
        <v>93</v>
      </c>
      <c r="R61" s="3" t="str">
        <f t="shared" si="0"/>
        <v>CANAL KONDZILLA</v>
      </c>
      <c r="S61" s="3" t="str">
        <f t="shared" si="1"/>
        <v xml:space="preserve"> united states </v>
      </c>
      <c r="T61" s="3" t="str">
        <f t="shared" si="2"/>
        <v>canal kondzilla</v>
      </c>
      <c r="U61" s="3" t="str">
        <f t="shared" si="3"/>
        <v>Canal Kondzilla</v>
      </c>
      <c r="V61" s="3">
        <f t="shared" si="4"/>
        <v>14</v>
      </c>
      <c r="W61" s="3" t="str">
        <f t="shared" si="5"/>
        <v xml:space="preserve">canal kondzilla, United States </v>
      </c>
      <c r="X61" s="3" t="str">
        <f t="shared" si="6"/>
        <v xml:space="preserve">CANAL </v>
      </c>
      <c r="Y61" s="3" t="str">
        <f t="shared" si="7"/>
        <v>ZILLA</v>
      </c>
      <c r="Z61" s="3" t="str">
        <f t="shared" si="8"/>
        <v>ONDZI</v>
      </c>
      <c r="AA61" s="3" t="str">
        <f t="shared" si="9"/>
        <v>CANAL  ZILLA ONDZI</v>
      </c>
      <c r="AB61" s="3" t="str">
        <f t="shared" si="10"/>
        <v>A - 3</v>
      </c>
      <c r="AC61" s="3" t="str">
        <f t="shared" si="11"/>
        <v>cbnbl kondzillb</v>
      </c>
      <c r="AD61" s="3" t="str">
        <f t="shared" si="12"/>
        <v>canal BBBBBB</v>
      </c>
      <c r="AE61" s="20" t="str">
        <f t="shared" si="13"/>
        <v>canal kondzilla</v>
      </c>
      <c r="AF61" s="3" t="str">
        <f t="shared" si="14"/>
        <v>kondzilla</v>
      </c>
    </row>
    <row r="62" spans="5:32" ht="15.6" thickTop="1" thickBot="1">
      <c r="E62" s="9"/>
      <c r="I62" s="10"/>
      <c r="M62" s="3">
        <v>60</v>
      </c>
      <c r="N62" s="3" t="s">
        <v>162</v>
      </c>
      <c r="O62" s="3" t="s">
        <v>107</v>
      </c>
      <c r="P62" s="3" t="s">
        <v>88</v>
      </c>
      <c r="Q62" s="3" t="s">
        <v>104</v>
      </c>
      <c r="R62" s="3" t="str">
        <f t="shared" si="0"/>
        <v>DESI GAMERS</v>
      </c>
      <c r="S62" s="3" t="str">
        <f t="shared" si="1"/>
        <v>sweden</v>
      </c>
      <c r="T62" s="3" t="str">
        <f t="shared" si="2"/>
        <v>desi gamers</v>
      </c>
      <c r="U62" s="3" t="str">
        <f t="shared" si="3"/>
        <v>Desi Gamers</v>
      </c>
      <c r="V62" s="3">
        <f t="shared" si="4"/>
        <v>10</v>
      </c>
      <c r="W62" s="3" t="str">
        <f t="shared" si="5"/>
        <v>desi gamers,Sweden</v>
      </c>
      <c r="X62" s="3" t="str">
        <f t="shared" si="6"/>
        <v>DESI G</v>
      </c>
      <c r="Y62" s="3" t="str">
        <f t="shared" si="7"/>
        <v>AMERS</v>
      </c>
      <c r="Z62" s="3" t="str">
        <f t="shared" si="8"/>
        <v>MERS</v>
      </c>
      <c r="AA62" s="3" t="str">
        <f t="shared" si="9"/>
        <v>DESI G AMERS MERS</v>
      </c>
      <c r="AB62" s="3" t="str">
        <f t="shared" si="10"/>
        <v>A - 1</v>
      </c>
      <c r="AC62" s="3" t="str">
        <f t="shared" si="11"/>
        <v>desi gbmers</v>
      </c>
      <c r="AD62" s="3" t="str">
        <f t="shared" si="12"/>
        <v>desi gBBBBBB</v>
      </c>
      <c r="AE62" s="20" t="str">
        <f t="shared" si="13"/>
        <v>desi gamers</v>
      </c>
      <c r="AF62" s="3" t="str">
        <f t="shared" si="14"/>
        <v>gamers</v>
      </c>
    </row>
    <row r="63" spans="5:32" ht="15.6" thickTop="1" thickBot="1">
      <c r="E63" s="9"/>
      <c r="I63" s="10"/>
      <c r="M63" s="3">
        <v>61</v>
      </c>
      <c r="N63" s="3" t="s">
        <v>163</v>
      </c>
      <c r="O63" s="3" t="s">
        <v>24</v>
      </c>
      <c r="P63" s="3" t="s">
        <v>92</v>
      </c>
      <c r="Q63" s="3" t="s">
        <v>97</v>
      </c>
      <c r="R63" s="3" t="str">
        <f t="shared" si="0"/>
        <v>ASHISH CHANCHLANI VINES</v>
      </c>
      <c r="S63" s="3" t="str">
        <f t="shared" si="1"/>
        <v>india</v>
      </c>
      <c r="T63" s="3" t="str">
        <f t="shared" si="2"/>
        <v>ASHISH CHANCHLANI VINES</v>
      </c>
      <c r="U63" s="3" t="str">
        <f t="shared" si="3"/>
        <v>Ashish Chanchlani Vines</v>
      </c>
      <c r="V63" s="3">
        <f t="shared" si="4"/>
        <v>21</v>
      </c>
      <c r="W63" s="3" t="str">
        <f t="shared" si="5"/>
        <v>ASHISH CHANCHLANI VINES,India</v>
      </c>
      <c r="X63" s="3" t="str">
        <f t="shared" si="6"/>
        <v>ASHISH</v>
      </c>
      <c r="Y63" s="3" t="str">
        <f t="shared" si="7"/>
        <v>VINES</v>
      </c>
      <c r="Z63" s="3" t="str">
        <f t="shared" si="8"/>
        <v>CHANC</v>
      </c>
      <c r="AA63" s="3" t="str">
        <f t="shared" si="9"/>
        <v>ASHISH VINES CHANC</v>
      </c>
      <c r="AB63" s="3" t="str">
        <f t="shared" si="10"/>
        <v>A - 3</v>
      </c>
      <c r="AC63" s="3" t="str">
        <f t="shared" si="11"/>
        <v>ASHISH CHANCHLANI VINES</v>
      </c>
      <c r="AD63" s="3" t="str">
        <f t="shared" si="12"/>
        <v>ASHISHBBBBBB</v>
      </c>
      <c r="AE63" s="20" t="str">
        <f t="shared" si="13"/>
        <v>ASHISH CHANCHLANI</v>
      </c>
      <c r="AF63" s="3" t="str">
        <f t="shared" si="14"/>
        <v>VINES</v>
      </c>
    </row>
    <row r="64" spans="5:32" ht="15.6" thickTop="1" thickBot="1">
      <c r="E64" s="9"/>
      <c r="I64" s="10"/>
      <c r="M64" s="3">
        <v>62</v>
      </c>
      <c r="N64" s="3" t="s">
        <v>164</v>
      </c>
      <c r="O64" s="3" t="s">
        <v>24</v>
      </c>
      <c r="P64" s="3" t="s">
        <v>136</v>
      </c>
      <c r="Q64" s="3" t="s">
        <v>117</v>
      </c>
      <c r="R64" s="3" t="str">
        <f t="shared" si="0"/>
        <v>MYSMARTPRICE</v>
      </c>
      <c r="S64" s="3" t="str">
        <f t="shared" si="1"/>
        <v>india</v>
      </c>
      <c r="T64" s="3" t="str">
        <f t="shared" si="2"/>
        <v>mysmartprice</v>
      </c>
      <c r="U64" s="3" t="str">
        <f t="shared" si="3"/>
        <v>Mysmartprice</v>
      </c>
      <c r="V64" s="3">
        <f t="shared" si="4"/>
        <v>12</v>
      </c>
      <c r="W64" s="3" t="str">
        <f t="shared" si="5"/>
        <v>mysmartprice,India</v>
      </c>
      <c r="X64" s="3" t="str">
        <f t="shared" si="6"/>
        <v>MYSMAR</v>
      </c>
      <c r="Y64" s="3" t="str">
        <f t="shared" si="7"/>
        <v>PRICE</v>
      </c>
      <c r="Z64" s="3" t="str">
        <f t="shared" si="8"/>
        <v>PRICE</v>
      </c>
      <c r="AA64" s="3" t="str">
        <f t="shared" si="9"/>
        <v>MYSMAR PRICE PRICE</v>
      </c>
      <c r="AB64" s="3" t="str">
        <f t="shared" si="10"/>
        <v>A - 1</v>
      </c>
      <c r="AC64" s="3" t="str">
        <f t="shared" si="11"/>
        <v>mysmbrtprice</v>
      </c>
      <c r="AD64" s="3" t="str">
        <f t="shared" si="12"/>
        <v>mysmarBBBBBB</v>
      </c>
      <c r="AE64" s="20" t="str">
        <f t="shared" si="13"/>
        <v>mysmartprice</v>
      </c>
      <c r="AF64" s="3" t="str">
        <f t="shared" si="14"/>
        <v>mysmartprice</v>
      </c>
    </row>
    <row r="65" spans="5:32" ht="15.6" thickTop="1" thickBot="1">
      <c r="E65" s="9"/>
      <c r="I65" s="10"/>
      <c r="M65" s="3">
        <v>63</v>
      </c>
      <c r="N65" s="3" t="s">
        <v>94</v>
      </c>
      <c r="O65" s="3" t="s">
        <v>24</v>
      </c>
      <c r="P65" s="3" t="s">
        <v>92</v>
      </c>
      <c r="Q65" s="3" t="s">
        <v>109</v>
      </c>
      <c r="R65" s="3" t="str">
        <f t="shared" si="0"/>
        <v>ZEE MUSIC COMPANY</v>
      </c>
      <c r="S65" s="3" t="str">
        <f t="shared" si="1"/>
        <v>india</v>
      </c>
      <c r="T65" s="3" t="str">
        <f t="shared" si="2"/>
        <v>ZEE MUSIC COMPANY</v>
      </c>
      <c r="U65" s="3" t="str">
        <f t="shared" si="3"/>
        <v>Zee Music Company</v>
      </c>
      <c r="V65" s="3">
        <f t="shared" si="4"/>
        <v>15</v>
      </c>
      <c r="W65" s="3" t="str">
        <f t="shared" si="5"/>
        <v>ZEE MUSIC COMPANY,India</v>
      </c>
      <c r="X65" s="3" t="str">
        <f t="shared" si="6"/>
        <v>ZEE MU</v>
      </c>
      <c r="Y65" s="3" t="str">
        <f t="shared" si="7"/>
        <v>MPANY</v>
      </c>
      <c r="Z65" s="3" t="str">
        <f t="shared" si="8"/>
        <v>IC CO</v>
      </c>
      <c r="AA65" s="3" t="str">
        <f t="shared" si="9"/>
        <v>ZEE MU MPANY IC CO</v>
      </c>
      <c r="AB65" s="3" t="str">
        <f t="shared" si="10"/>
        <v>A - 1</v>
      </c>
      <c r="AC65" s="3" t="str">
        <f t="shared" si="11"/>
        <v>ZEE MUSIC COMPANY</v>
      </c>
      <c r="AD65" s="3" t="str">
        <f t="shared" si="12"/>
        <v>ZEE MUBBBBBB</v>
      </c>
      <c r="AE65" s="20" t="str">
        <f t="shared" si="13"/>
        <v>ZEE MUSIC</v>
      </c>
      <c r="AF65" s="3" t="str">
        <f t="shared" si="14"/>
        <v>COMPANY</v>
      </c>
    </row>
    <row r="66" spans="5:32" ht="15.6" thickTop="1" thickBot="1">
      <c r="E66" s="9"/>
      <c r="I66" s="10"/>
      <c r="M66" s="3">
        <v>64</v>
      </c>
      <c r="N66" s="3" t="s">
        <v>165</v>
      </c>
      <c r="O66" s="3" t="s">
        <v>107</v>
      </c>
      <c r="P66" s="3" t="s">
        <v>136</v>
      </c>
      <c r="Q66" s="3" t="s">
        <v>97</v>
      </c>
      <c r="R66" s="3" t="str">
        <f t="shared" si="0"/>
        <v xml:space="preserve">DESI GAMERS  </v>
      </c>
      <c r="S66" s="3" t="str">
        <f t="shared" si="1"/>
        <v>sweden</v>
      </c>
      <c r="T66" s="3" t="str">
        <f t="shared" si="2"/>
        <v>Desi Gamers</v>
      </c>
      <c r="U66" s="3" t="str">
        <f t="shared" si="3"/>
        <v>Desi Gamers</v>
      </c>
      <c r="V66" s="3">
        <f t="shared" si="4"/>
        <v>10</v>
      </c>
      <c r="W66" s="3" t="str">
        <f t="shared" si="5"/>
        <v>Desi Gamers  ,Sweden</v>
      </c>
      <c r="X66" s="3" t="str">
        <f t="shared" si="6"/>
        <v>DESI G</v>
      </c>
      <c r="Y66" s="3" t="str">
        <f t="shared" si="7"/>
        <v xml:space="preserve">ERS  </v>
      </c>
      <c r="Z66" s="3" t="str">
        <f t="shared" si="8"/>
        <v xml:space="preserve">MERS </v>
      </c>
      <c r="AA66" s="3" t="str">
        <f t="shared" si="9"/>
        <v xml:space="preserve">DESI G ERS   MERS </v>
      </c>
      <c r="AB66" s="3" t="str">
        <f t="shared" si="10"/>
        <v>A - 1</v>
      </c>
      <c r="AC66" s="3" t="str">
        <f t="shared" si="11"/>
        <v xml:space="preserve">Desi Gbmers  </v>
      </c>
      <c r="AD66" s="3" t="str">
        <f t="shared" si="12"/>
        <v>Desi GBBBBBB</v>
      </c>
      <c r="AE66" s="20" t="str">
        <f t="shared" si="13"/>
        <v>Desi Gamers</v>
      </c>
      <c r="AF66" s="3" t="str">
        <f t="shared" si="14"/>
        <v>Gamers</v>
      </c>
    </row>
    <row r="67" spans="5:32" ht="15.6" thickTop="1" thickBot="1">
      <c r="E67" s="9"/>
      <c r="I67" s="10"/>
      <c r="M67" s="3">
        <v>65</v>
      </c>
      <c r="N67" s="3" t="s">
        <v>166</v>
      </c>
      <c r="O67" s="3" t="s">
        <v>116</v>
      </c>
      <c r="P67" s="3" t="s">
        <v>131</v>
      </c>
      <c r="Q67" s="3" t="s">
        <v>99</v>
      </c>
      <c r="R67" s="3" t="str">
        <f t="shared" si="0"/>
        <v xml:space="preserve">TOTAL GAMING  </v>
      </c>
      <c r="S67" s="3" t="str">
        <f t="shared" si="1"/>
        <v xml:space="preserve"> united states </v>
      </c>
      <c r="T67" s="3" t="str">
        <f t="shared" si="2"/>
        <v>Total Gaming</v>
      </c>
      <c r="U67" s="3" t="str">
        <f t="shared" si="3"/>
        <v>Total Gaming</v>
      </c>
      <c r="V67" s="3">
        <f t="shared" si="4"/>
        <v>11</v>
      </c>
      <c r="W67" s="3" t="str">
        <f t="shared" si="5"/>
        <v xml:space="preserve">Total Gaming  , United States </v>
      </c>
      <c r="X67" s="3" t="str">
        <f t="shared" si="6"/>
        <v xml:space="preserve">TOTAL </v>
      </c>
      <c r="Y67" s="3" t="str">
        <f t="shared" si="7"/>
        <v xml:space="preserve">ING  </v>
      </c>
      <c r="Z67" s="3" t="str">
        <f t="shared" si="8"/>
        <v>AMING</v>
      </c>
      <c r="AA67" s="3" t="str">
        <f t="shared" si="9"/>
        <v>TOTAL  ING   AMING</v>
      </c>
      <c r="AB67" s="3" t="str">
        <f t="shared" si="10"/>
        <v>A - 2</v>
      </c>
      <c r="AC67" s="3" t="str">
        <f t="shared" si="11"/>
        <v xml:space="preserve">Totbl Gbming  </v>
      </c>
      <c r="AD67" s="3" t="str">
        <f t="shared" si="12"/>
        <v>Total BBBBBB</v>
      </c>
      <c r="AE67" s="20" t="str">
        <f t="shared" si="13"/>
        <v>Total Gaming</v>
      </c>
      <c r="AF67" s="3" t="str">
        <f t="shared" si="14"/>
        <v>Gaming</v>
      </c>
    </row>
    <row r="68" spans="5:32" ht="15.6" thickTop="1" thickBot="1">
      <c r="E68" s="9"/>
      <c r="I68" s="10"/>
      <c r="M68" s="3">
        <v>66</v>
      </c>
      <c r="N68" s="3" t="s">
        <v>167</v>
      </c>
      <c r="O68" s="3" t="s">
        <v>102</v>
      </c>
      <c r="P68" s="3" t="s">
        <v>119</v>
      </c>
      <c r="Q68" s="3" t="s">
        <v>124</v>
      </c>
      <c r="R68" s="3" t="str">
        <f t="shared" ref="R68:R102" si="15">UPPER(N68)</f>
        <v>ASHISH CHANCHLANI VINES</v>
      </c>
      <c r="S68" s="3" t="str">
        <f t="shared" ref="S68:S102" si="16">LOWER(O68)</f>
        <v xml:space="preserve"> united kingdom</v>
      </c>
      <c r="T68" s="3" t="str">
        <f t="shared" ref="T68:T102" si="17">TRIM(N68)</f>
        <v>Ashish Chanchlani Vines</v>
      </c>
      <c r="U68" s="3" t="str">
        <f t="shared" ref="U68:U102" si="18">PROPER(TRIM(N68))</f>
        <v>Ashish Chanchlani Vines</v>
      </c>
      <c r="V68" s="3">
        <f t="shared" ref="V68:V102" si="19">LEN(SUBSTITUTE(TRIM(SUBSTITUTE(N68,CHAR(160)," "))," ",""))</f>
        <v>21</v>
      </c>
      <c r="W68" s="3" t="str">
        <f t="shared" ref="W68:W102" si="20">(_xlfn.TEXTJOIN(",", TRUE,N68,O68))</f>
        <v>Ashish Chanchlani Vines, united kingdom</v>
      </c>
      <c r="X68" s="3" t="str">
        <f t="shared" ref="X68:X102" si="21">LEFT(R68,6)</f>
        <v>ASHISH</v>
      </c>
      <c r="Y68" s="3" t="str">
        <f t="shared" ref="Y68:Y102" si="22">RIGHT(R68,5)</f>
        <v>VINES</v>
      </c>
      <c r="Z68" s="3" t="str">
        <f t="shared" ref="Z68:Z102" si="23">MID(R68,8,5)</f>
        <v>CHANC</v>
      </c>
      <c r="AA68" s="3" t="str">
        <f t="shared" ref="AA68:AA102" si="24">_xlfn.CONCAT( X68," ", Y68, " ", Z68)</f>
        <v>ASHISH VINES CHANC</v>
      </c>
      <c r="AB68" s="3" t="str">
        <f t="shared" ref="AB68:AB102" si="25">"A - "&amp;(LEN(UPPER(R68))-LEN(SUBSTITUTE(UPPER(R68),"A","")))</f>
        <v>A - 3</v>
      </c>
      <c r="AC68" s="3" t="str">
        <f t="shared" ref="AC68:AC102" si="26">SUBSTITUTE(N68, "a", "b")</f>
        <v>Ashish Chbnchlbni Vines</v>
      </c>
      <c r="AD68" s="3" t="str">
        <f t="shared" ref="AD68:AD102" si="27">REPLACE(N68,7,17,"BBBBBB")</f>
        <v>AshishBBBBBB</v>
      </c>
      <c r="AE68" s="20" t="str">
        <f t="shared" ref="AE68:AE102" si="28">IFERROR(LEFT(N68,FIND("@",SUBSTITUTE(N68," ","@",2))-1),N68)</f>
        <v>Ashish Chanchlani</v>
      </c>
      <c r="AF68" s="3" t="str">
        <f t="shared" ref="AF68:AF102" si="29">TRIM(RIGHT(SUBSTITUTE(TRIM(N68)," ",REPT(" ",100)),100))</f>
        <v>Vines</v>
      </c>
    </row>
    <row r="69" spans="5:32" ht="15.6" thickTop="1" thickBot="1">
      <c r="E69" s="9"/>
      <c r="I69" s="10"/>
      <c r="M69" s="3">
        <v>67</v>
      </c>
      <c r="N69" s="3" t="s">
        <v>168</v>
      </c>
      <c r="O69" s="3" t="s">
        <v>122</v>
      </c>
      <c r="P69" s="3" t="s">
        <v>88</v>
      </c>
      <c r="Q69" s="3" t="s">
        <v>104</v>
      </c>
      <c r="R69" s="3" t="str">
        <f t="shared" si="15"/>
        <v xml:space="preserve">ASHISH CHANCHLANI VINES  </v>
      </c>
      <c r="S69" s="3" t="str">
        <f t="shared" si="16"/>
        <v>usa</v>
      </c>
      <c r="T69" s="3" t="str">
        <f t="shared" si="17"/>
        <v>ashish chanchlani vines</v>
      </c>
      <c r="U69" s="3" t="str">
        <f t="shared" si="18"/>
        <v>Ashish Chanchlani Vines</v>
      </c>
      <c r="V69" s="3">
        <f t="shared" si="19"/>
        <v>21</v>
      </c>
      <c r="W69" s="3" t="str">
        <f t="shared" si="20"/>
        <v>ashish chanchlani vines  ,USA</v>
      </c>
      <c r="X69" s="3" t="str">
        <f t="shared" si="21"/>
        <v>ASHISH</v>
      </c>
      <c r="Y69" s="3" t="str">
        <f t="shared" si="22"/>
        <v xml:space="preserve">NES  </v>
      </c>
      <c r="Z69" s="3" t="str">
        <f t="shared" si="23"/>
        <v>CHANC</v>
      </c>
      <c r="AA69" s="3" t="str">
        <f t="shared" si="24"/>
        <v>ASHISH NES   CHANC</v>
      </c>
      <c r="AB69" s="3" t="str">
        <f t="shared" si="25"/>
        <v>A - 3</v>
      </c>
      <c r="AC69" s="3" t="str">
        <f t="shared" si="26"/>
        <v xml:space="preserve">bshish chbnchlbni vines  </v>
      </c>
      <c r="AD69" s="3" t="str">
        <f t="shared" si="27"/>
        <v xml:space="preserve">ashishBBBBBB  </v>
      </c>
      <c r="AE69" s="20" t="str">
        <f t="shared" si="28"/>
        <v>ashish chanchlani</v>
      </c>
      <c r="AF69" s="3" t="str">
        <f t="shared" si="29"/>
        <v>vines</v>
      </c>
    </row>
    <row r="70" spans="5:32" ht="15.6" thickTop="1" thickBot="1">
      <c r="E70" s="9"/>
      <c r="I70" s="10"/>
      <c r="M70" s="3">
        <v>68</v>
      </c>
      <c r="N70" s="3" t="s">
        <v>169</v>
      </c>
      <c r="O70" s="3" t="s">
        <v>24</v>
      </c>
      <c r="P70" s="3" t="s">
        <v>96</v>
      </c>
      <c r="Q70" s="3" t="s">
        <v>89</v>
      </c>
      <c r="R70" s="3" t="str">
        <f t="shared" si="15"/>
        <v>TOTAL GAMING</v>
      </c>
      <c r="S70" s="3" t="str">
        <f t="shared" si="16"/>
        <v>india</v>
      </c>
      <c r="T70" s="3" t="str">
        <f t="shared" si="17"/>
        <v>total gaming</v>
      </c>
      <c r="U70" s="3" t="str">
        <f t="shared" si="18"/>
        <v>Total Gaming</v>
      </c>
      <c r="V70" s="3">
        <f t="shared" si="19"/>
        <v>11</v>
      </c>
      <c r="W70" s="3" t="str">
        <f t="shared" si="20"/>
        <v>total gaming,India</v>
      </c>
      <c r="X70" s="3" t="str">
        <f t="shared" si="21"/>
        <v xml:space="preserve">TOTAL </v>
      </c>
      <c r="Y70" s="3" t="str">
        <f t="shared" si="22"/>
        <v>AMING</v>
      </c>
      <c r="Z70" s="3" t="str">
        <f t="shared" si="23"/>
        <v>AMING</v>
      </c>
      <c r="AA70" s="3" t="str">
        <f t="shared" si="24"/>
        <v>TOTAL  AMING AMING</v>
      </c>
      <c r="AB70" s="3" t="str">
        <f t="shared" si="25"/>
        <v>A - 2</v>
      </c>
      <c r="AC70" s="3" t="str">
        <f t="shared" si="26"/>
        <v>totbl gbming</v>
      </c>
      <c r="AD70" s="3" t="str">
        <f t="shared" si="27"/>
        <v>total BBBBBB</v>
      </c>
      <c r="AE70" s="20" t="str">
        <f t="shared" si="28"/>
        <v>total gaming</v>
      </c>
      <c r="AF70" s="3" t="str">
        <f t="shared" si="29"/>
        <v>gaming</v>
      </c>
    </row>
    <row r="71" spans="5:32" ht="15.6" thickTop="1" thickBot="1">
      <c r="E71" s="9"/>
      <c r="I71" s="10"/>
      <c r="M71" s="3">
        <v>69</v>
      </c>
      <c r="N71" s="3" t="s">
        <v>170</v>
      </c>
      <c r="O71" s="3" t="s">
        <v>102</v>
      </c>
      <c r="P71" s="3" t="s">
        <v>92</v>
      </c>
      <c r="Q71" s="3" t="s">
        <v>89</v>
      </c>
      <c r="R71" s="3" t="str">
        <f t="shared" si="15"/>
        <v>MARKIPLIER</v>
      </c>
      <c r="S71" s="3" t="str">
        <f t="shared" si="16"/>
        <v xml:space="preserve"> united kingdom</v>
      </c>
      <c r="T71" s="3" t="str">
        <f t="shared" si="17"/>
        <v>MARKIPLIER</v>
      </c>
      <c r="U71" s="3" t="str">
        <f t="shared" si="18"/>
        <v>Markiplier</v>
      </c>
      <c r="V71" s="3">
        <f t="shared" si="19"/>
        <v>10</v>
      </c>
      <c r="W71" s="3" t="str">
        <f t="shared" si="20"/>
        <v>MARKIPLIER, united kingdom</v>
      </c>
      <c r="X71" s="3" t="str">
        <f t="shared" si="21"/>
        <v>MARKIP</v>
      </c>
      <c r="Y71" s="3" t="str">
        <f t="shared" si="22"/>
        <v>PLIER</v>
      </c>
      <c r="Z71" s="3" t="str">
        <f t="shared" si="23"/>
        <v>IER</v>
      </c>
      <c r="AA71" s="3" t="str">
        <f t="shared" si="24"/>
        <v>MARKIP PLIER IER</v>
      </c>
      <c r="AB71" s="3" t="str">
        <f t="shared" si="25"/>
        <v>A - 1</v>
      </c>
      <c r="AC71" s="3" t="str">
        <f t="shared" si="26"/>
        <v>MARKIPLIER</v>
      </c>
      <c r="AD71" s="3" t="str">
        <f t="shared" si="27"/>
        <v>MARKIPBBBBBB</v>
      </c>
      <c r="AE71" s="20" t="str">
        <f t="shared" si="28"/>
        <v>MARKIPLIER</v>
      </c>
      <c r="AF71" s="3" t="str">
        <f t="shared" si="29"/>
        <v>MARKIPLIER</v>
      </c>
    </row>
    <row r="72" spans="5:32" ht="15.6" thickTop="1" thickBot="1">
      <c r="E72" s="9"/>
      <c r="I72" s="10"/>
      <c r="M72" s="3">
        <v>70</v>
      </c>
      <c r="N72" s="3" t="s">
        <v>171</v>
      </c>
      <c r="O72" s="3" t="s">
        <v>102</v>
      </c>
      <c r="P72" s="3" t="s">
        <v>88</v>
      </c>
      <c r="Q72" s="3" t="s">
        <v>97</v>
      </c>
      <c r="R72" s="3" t="str">
        <f t="shared" si="15"/>
        <v>NAS DAILY</v>
      </c>
      <c r="S72" s="3" t="str">
        <f t="shared" si="16"/>
        <v xml:space="preserve"> united kingdom</v>
      </c>
      <c r="T72" s="3" t="str">
        <f t="shared" si="17"/>
        <v>Nas Daily</v>
      </c>
      <c r="U72" s="3" t="str">
        <f t="shared" si="18"/>
        <v>Nas Daily</v>
      </c>
      <c r="V72" s="3">
        <f t="shared" si="19"/>
        <v>8</v>
      </c>
      <c r="W72" s="3" t="str">
        <f t="shared" si="20"/>
        <v>Nas Daily, united kingdom</v>
      </c>
      <c r="X72" s="3" t="str">
        <f t="shared" si="21"/>
        <v>NAS DA</v>
      </c>
      <c r="Y72" s="3" t="str">
        <f t="shared" si="22"/>
        <v>DAILY</v>
      </c>
      <c r="Z72" s="3" t="str">
        <f t="shared" si="23"/>
        <v>LY</v>
      </c>
      <c r="AA72" s="3" t="str">
        <f t="shared" si="24"/>
        <v>NAS DA DAILY LY</v>
      </c>
      <c r="AB72" s="3" t="str">
        <f t="shared" si="25"/>
        <v>A - 2</v>
      </c>
      <c r="AC72" s="3" t="str">
        <f t="shared" si="26"/>
        <v>Nbs Dbily</v>
      </c>
      <c r="AD72" s="3" t="str">
        <f t="shared" si="27"/>
        <v>Nas DaBBBBBB</v>
      </c>
      <c r="AE72" s="20" t="str">
        <f t="shared" si="28"/>
        <v>Nas Daily</v>
      </c>
      <c r="AF72" s="3" t="str">
        <f t="shared" si="29"/>
        <v>Daily</v>
      </c>
    </row>
    <row r="73" spans="5:32" ht="15.6" thickTop="1" thickBot="1">
      <c r="E73" s="9"/>
      <c r="I73" s="10"/>
      <c r="M73" s="3">
        <v>71</v>
      </c>
      <c r="N73" s="3" t="s">
        <v>121</v>
      </c>
      <c r="O73" s="3" t="s">
        <v>102</v>
      </c>
      <c r="P73" s="3" t="s">
        <v>88</v>
      </c>
      <c r="Q73" s="3" t="s">
        <v>124</v>
      </c>
      <c r="R73" s="3" t="str">
        <f t="shared" si="15"/>
        <v>SONY MUSIC INDIA</v>
      </c>
      <c r="S73" s="3" t="str">
        <f t="shared" si="16"/>
        <v xml:space="preserve"> united kingdom</v>
      </c>
      <c r="T73" s="3" t="str">
        <f t="shared" si="17"/>
        <v>Sony Music INDIA</v>
      </c>
      <c r="U73" s="3" t="str">
        <f t="shared" si="18"/>
        <v>Sony Music India</v>
      </c>
      <c r="V73" s="3">
        <f t="shared" si="19"/>
        <v>14</v>
      </c>
      <c r="W73" s="3" t="str">
        <f t="shared" si="20"/>
        <v>Sony Music INDIA, united kingdom</v>
      </c>
      <c r="X73" s="3" t="str">
        <f t="shared" si="21"/>
        <v>SONY M</v>
      </c>
      <c r="Y73" s="3" t="str">
        <f t="shared" si="22"/>
        <v>INDIA</v>
      </c>
      <c r="Z73" s="3" t="str">
        <f t="shared" si="23"/>
        <v>SIC I</v>
      </c>
      <c r="AA73" s="3" t="str">
        <f t="shared" si="24"/>
        <v>SONY M INDIA SIC I</v>
      </c>
      <c r="AB73" s="3" t="str">
        <f t="shared" si="25"/>
        <v>A - 1</v>
      </c>
      <c r="AC73" s="3" t="str">
        <f t="shared" si="26"/>
        <v>Sony Music INDIA</v>
      </c>
      <c r="AD73" s="3" t="str">
        <f t="shared" si="27"/>
        <v>Sony MBBBBBB</v>
      </c>
      <c r="AE73" s="20" t="str">
        <f t="shared" si="28"/>
        <v>Sony Music</v>
      </c>
      <c r="AF73" s="3" t="str">
        <f t="shared" si="29"/>
        <v>INDIA</v>
      </c>
    </row>
    <row r="74" spans="5:32" ht="15.6" thickTop="1" thickBot="1">
      <c r="E74" s="9"/>
      <c r="I74" s="10"/>
      <c r="M74" s="3">
        <v>72</v>
      </c>
      <c r="N74" s="3" t="s">
        <v>172</v>
      </c>
      <c r="O74" s="3" t="s">
        <v>107</v>
      </c>
      <c r="P74" s="3" t="s">
        <v>88</v>
      </c>
      <c r="Q74" s="3" t="s">
        <v>117</v>
      </c>
      <c r="R74" s="3" t="str">
        <f t="shared" si="15"/>
        <v>CARRYMINATI</v>
      </c>
      <c r="S74" s="3" t="str">
        <f t="shared" si="16"/>
        <v>sweden</v>
      </c>
      <c r="T74" s="3" t="str">
        <f t="shared" si="17"/>
        <v>carryminati</v>
      </c>
      <c r="U74" s="3" t="str">
        <f t="shared" si="18"/>
        <v>Carryminati</v>
      </c>
      <c r="V74" s="3">
        <f t="shared" si="19"/>
        <v>11</v>
      </c>
      <c r="W74" s="3" t="str">
        <f t="shared" si="20"/>
        <v>carryminati,Sweden</v>
      </c>
      <c r="X74" s="3" t="str">
        <f t="shared" si="21"/>
        <v>CARRYM</v>
      </c>
      <c r="Y74" s="3" t="str">
        <f t="shared" si="22"/>
        <v>INATI</v>
      </c>
      <c r="Z74" s="3" t="str">
        <f t="shared" si="23"/>
        <v>NATI</v>
      </c>
      <c r="AA74" s="3" t="str">
        <f t="shared" si="24"/>
        <v>CARRYM INATI NATI</v>
      </c>
      <c r="AB74" s="3" t="str">
        <f t="shared" si="25"/>
        <v>A - 2</v>
      </c>
      <c r="AC74" s="3" t="str">
        <f t="shared" si="26"/>
        <v>cbrryminbti</v>
      </c>
      <c r="AD74" s="3" t="str">
        <f t="shared" si="27"/>
        <v>carrymBBBBBB</v>
      </c>
      <c r="AE74" s="20" t="str">
        <f t="shared" si="28"/>
        <v>carryminati</v>
      </c>
      <c r="AF74" s="3" t="str">
        <f t="shared" si="29"/>
        <v>carryminati</v>
      </c>
    </row>
    <row r="75" spans="5:32" ht="15.6" thickTop="1" thickBot="1">
      <c r="E75" s="9"/>
      <c r="I75" s="10"/>
      <c r="M75" s="3">
        <v>73</v>
      </c>
      <c r="N75" s="3" t="s">
        <v>173</v>
      </c>
      <c r="O75" s="3" t="s">
        <v>44</v>
      </c>
      <c r="P75" s="3" t="s">
        <v>103</v>
      </c>
      <c r="Q75" s="3" t="s">
        <v>109</v>
      </c>
      <c r="R75" s="3" t="str">
        <f t="shared" si="15"/>
        <v>YRF</v>
      </c>
      <c r="S75" s="3" t="str">
        <f t="shared" si="16"/>
        <v>japan</v>
      </c>
      <c r="T75" s="3" t="str">
        <f t="shared" si="17"/>
        <v>yrf</v>
      </c>
      <c r="U75" s="3" t="str">
        <f t="shared" si="18"/>
        <v>Yrf</v>
      </c>
      <c r="V75" s="3">
        <f t="shared" si="19"/>
        <v>3</v>
      </c>
      <c r="W75" s="3" t="str">
        <f t="shared" si="20"/>
        <v>yrf,Japan</v>
      </c>
      <c r="X75" s="3" t="str">
        <f t="shared" si="21"/>
        <v>YRF</v>
      </c>
      <c r="Y75" s="3" t="str">
        <f t="shared" si="22"/>
        <v>YRF</v>
      </c>
      <c r="Z75" s="3" t="str">
        <f t="shared" si="23"/>
        <v/>
      </c>
      <c r="AA75" s="3" t="str">
        <f t="shared" si="24"/>
        <v xml:space="preserve">YRF YRF </v>
      </c>
      <c r="AB75" s="3" t="str">
        <f t="shared" si="25"/>
        <v>A - 0</v>
      </c>
      <c r="AC75" s="3" t="str">
        <f t="shared" si="26"/>
        <v>yrf</v>
      </c>
      <c r="AD75" s="3" t="str">
        <f t="shared" si="27"/>
        <v>yrfBBBBBB</v>
      </c>
      <c r="AE75" s="20" t="str">
        <f t="shared" si="28"/>
        <v>yrf</v>
      </c>
      <c r="AF75" s="3" t="str">
        <f t="shared" si="29"/>
        <v>yrf</v>
      </c>
    </row>
    <row r="76" spans="5:32" ht="15.6" thickTop="1" thickBot="1">
      <c r="E76" s="9"/>
      <c r="I76" s="10"/>
      <c r="M76" s="3">
        <v>74</v>
      </c>
      <c r="N76" s="3" t="s">
        <v>174</v>
      </c>
      <c r="O76" s="3" t="s">
        <v>24</v>
      </c>
      <c r="P76" s="3" t="s">
        <v>88</v>
      </c>
      <c r="Q76" s="3" t="s">
        <v>97</v>
      </c>
      <c r="R76" s="3" t="str">
        <f t="shared" si="15"/>
        <v>TECH BURNER</v>
      </c>
      <c r="S76" s="3" t="str">
        <f t="shared" si="16"/>
        <v>india</v>
      </c>
      <c r="T76" s="3" t="str">
        <f t="shared" si="17"/>
        <v>tech burner</v>
      </c>
      <c r="U76" s="3" t="str">
        <f t="shared" si="18"/>
        <v>Tech Burner</v>
      </c>
      <c r="V76" s="3">
        <f t="shared" si="19"/>
        <v>10</v>
      </c>
      <c r="W76" s="3" t="str">
        <f t="shared" si="20"/>
        <v>tech burner,India</v>
      </c>
      <c r="X76" s="3" t="str">
        <f t="shared" si="21"/>
        <v>TECH B</v>
      </c>
      <c r="Y76" s="3" t="str">
        <f t="shared" si="22"/>
        <v>URNER</v>
      </c>
      <c r="Z76" s="3" t="str">
        <f t="shared" si="23"/>
        <v>RNER</v>
      </c>
      <c r="AA76" s="3" t="str">
        <f t="shared" si="24"/>
        <v>TECH B URNER RNER</v>
      </c>
      <c r="AB76" s="3" t="str">
        <f t="shared" si="25"/>
        <v>A - 0</v>
      </c>
      <c r="AC76" s="3" t="str">
        <f t="shared" si="26"/>
        <v>tech burner</v>
      </c>
      <c r="AD76" s="3" t="str">
        <f t="shared" si="27"/>
        <v>tech bBBBBBB</v>
      </c>
      <c r="AE76" s="20" t="str">
        <f t="shared" si="28"/>
        <v>tech burner</v>
      </c>
      <c r="AF76" s="3" t="str">
        <f t="shared" si="29"/>
        <v>burner</v>
      </c>
    </row>
    <row r="77" spans="5:32" ht="15.6" thickTop="1" thickBot="1">
      <c r="E77" s="9"/>
      <c r="I77" s="10"/>
      <c r="M77" s="3">
        <v>75</v>
      </c>
      <c r="N77" s="3" t="s">
        <v>98</v>
      </c>
      <c r="O77" s="3" t="s">
        <v>91</v>
      </c>
      <c r="P77" s="3" t="s">
        <v>126</v>
      </c>
      <c r="Q77" s="3" t="s">
        <v>93</v>
      </c>
      <c r="R77" s="3" t="str">
        <f t="shared" si="15"/>
        <v xml:space="preserve">MRBEAST  </v>
      </c>
      <c r="S77" s="3" t="str">
        <f t="shared" si="16"/>
        <v xml:space="preserve">india </v>
      </c>
      <c r="T77" s="3" t="str">
        <f t="shared" si="17"/>
        <v>MrBeast</v>
      </c>
      <c r="U77" s="3" t="str">
        <f t="shared" si="18"/>
        <v>Mrbeast</v>
      </c>
      <c r="V77" s="3">
        <f t="shared" si="19"/>
        <v>7</v>
      </c>
      <c r="W77" s="3" t="str">
        <f t="shared" si="20"/>
        <v xml:space="preserve">MrBeast  ,India </v>
      </c>
      <c r="X77" s="3" t="str">
        <f t="shared" si="21"/>
        <v>MRBEAS</v>
      </c>
      <c r="Y77" s="3" t="str">
        <f t="shared" si="22"/>
        <v xml:space="preserve">AST  </v>
      </c>
      <c r="Z77" s="3" t="str">
        <f t="shared" si="23"/>
        <v xml:space="preserve">  </v>
      </c>
      <c r="AA77" s="3" t="str">
        <f t="shared" si="24"/>
        <v xml:space="preserve">MRBEAS AST     </v>
      </c>
      <c r="AB77" s="3" t="str">
        <f t="shared" si="25"/>
        <v>A - 1</v>
      </c>
      <c r="AC77" s="3" t="str">
        <f t="shared" si="26"/>
        <v xml:space="preserve">MrBebst  </v>
      </c>
      <c r="AD77" s="3" t="str">
        <f t="shared" si="27"/>
        <v>MrBeasBBBBBB</v>
      </c>
      <c r="AE77" s="20" t="str">
        <f t="shared" si="28"/>
        <v xml:space="preserve">MrBeast </v>
      </c>
      <c r="AF77" s="3" t="str">
        <f t="shared" si="29"/>
        <v>MrBeast</v>
      </c>
    </row>
    <row r="78" spans="5:32" ht="15.6" thickTop="1" thickBot="1">
      <c r="E78" s="9"/>
      <c r="I78" s="10"/>
      <c r="M78" s="3">
        <v>76</v>
      </c>
      <c r="N78" s="3" t="s">
        <v>175</v>
      </c>
      <c r="O78" s="3" t="s">
        <v>91</v>
      </c>
      <c r="P78" s="3" t="s">
        <v>88</v>
      </c>
      <c r="Q78" s="3" t="s">
        <v>93</v>
      </c>
      <c r="R78" s="3" t="str">
        <f t="shared" si="15"/>
        <v>TRIGGERED INSAAN</v>
      </c>
      <c r="S78" s="3" t="str">
        <f t="shared" si="16"/>
        <v xml:space="preserve">india </v>
      </c>
      <c r="T78" s="3" t="str">
        <f t="shared" si="17"/>
        <v>TRIGGERED INSAAN</v>
      </c>
      <c r="U78" s="3" t="str">
        <f t="shared" si="18"/>
        <v>Triggered Insaan</v>
      </c>
      <c r="V78" s="3">
        <f t="shared" si="19"/>
        <v>15</v>
      </c>
      <c r="W78" s="3" t="str">
        <f t="shared" si="20"/>
        <v xml:space="preserve">TRIGGERED INSAAN,India </v>
      </c>
      <c r="X78" s="3" t="str">
        <f t="shared" si="21"/>
        <v>TRIGGE</v>
      </c>
      <c r="Y78" s="3" t="str">
        <f t="shared" si="22"/>
        <v>NSAAN</v>
      </c>
      <c r="Z78" s="3" t="str">
        <f t="shared" si="23"/>
        <v>ED IN</v>
      </c>
      <c r="AA78" s="3" t="str">
        <f t="shared" si="24"/>
        <v>TRIGGE NSAAN ED IN</v>
      </c>
      <c r="AB78" s="3" t="str">
        <f t="shared" si="25"/>
        <v>A - 2</v>
      </c>
      <c r="AC78" s="3" t="str">
        <f t="shared" si="26"/>
        <v>TRIGGERED INSAAN</v>
      </c>
      <c r="AD78" s="3" t="str">
        <f t="shared" si="27"/>
        <v>TRIGGEBBBBBB</v>
      </c>
      <c r="AE78" s="20" t="str">
        <f t="shared" si="28"/>
        <v>TRIGGERED INSAAN</v>
      </c>
      <c r="AF78" s="3" t="str">
        <f t="shared" si="29"/>
        <v>INSAAN</v>
      </c>
    </row>
    <row r="79" spans="5:32" ht="15.6" thickTop="1" thickBot="1">
      <c r="E79" s="9"/>
      <c r="I79" s="10"/>
      <c r="M79" s="3">
        <v>77</v>
      </c>
      <c r="N79" s="3" t="s">
        <v>130</v>
      </c>
      <c r="O79" s="3" t="s">
        <v>24</v>
      </c>
      <c r="P79" s="3" t="s">
        <v>131</v>
      </c>
      <c r="Q79" s="3" t="s">
        <v>124</v>
      </c>
      <c r="R79" s="3" t="str">
        <f t="shared" si="15"/>
        <v>KIDS DIANA SHOW</v>
      </c>
      <c r="S79" s="3" t="str">
        <f t="shared" si="16"/>
        <v>india</v>
      </c>
      <c r="T79" s="3" t="str">
        <f t="shared" si="17"/>
        <v>kids Diana Show</v>
      </c>
      <c r="U79" s="3" t="str">
        <f t="shared" si="18"/>
        <v>Kids Diana Show</v>
      </c>
      <c r="V79" s="3">
        <f t="shared" si="19"/>
        <v>13</v>
      </c>
      <c r="W79" s="3" t="str">
        <f t="shared" si="20"/>
        <v>kids Diana Show,India</v>
      </c>
      <c r="X79" s="3" t="str">
        <f t="shared" si="21"/>
        <v>KIDS D</v>
      </c>
      <c r="Y79" s="3" t="str">
        <f t="shared" si="22"/>
        <v xml:space="preserve"> SHOW</v>
      </c>
      <c r="Z79" s="3" t="str">
        <f t="shared" si="23"/>
        <v>ANA S</v>
      </c>
      <c r="AA79" s="3" t="str">
        <f t="shared" si="24"/>
        <v>KIDS D  SHOW ANA S</v>
      </c>
      <c r="AB79" s="3" t="str">
        <f t="shared" si="25"/>
        <v>A - 2</v>
      </c>
      <c r="AC79" s="3" t="str">
        <f t="shared" si="26"/>
        <v>kids Dibnb Show</v>
      </c>
      <c r="AD79" s="3" t="str">
        <f t="shared" si="27"/>
        <v>kids DBBBBBB</v>
      </c>
      <c r="AE79" s="20" t="str">
        <f t="shared" si="28"/>
        <v>kids Diana</v>
      </c>
      <c r="AF79" s="3" t="str">
        <f t="shared" si="29"/>
        <v>Show</v>
      </c>
    </row>
    <row r="80" spans="5:32" ht="15.6" thickTop="1" thickBot="1">
      <c r="E80" s="9"/>
      <c r="I80" s="10"/>
      <c r="M80" s="3">
        <v>78</v>
      </c>
      <c r="N80" s="3" t="s">
        <v>176</v>
      </c>
      <c r="O80" s="3" t="s">
        <v>87</v>
      </c>
      <c r="P80" s="3" t="s">
        <v>88</v>
      </c>
      <c r="Q80" s="3" t="s">
        <v>89</v>
      </c>
      <c r="R80" s="3" t="str">
        <f t="shared" si="15"/>
        <v>ROUND2HELL</v>
      </c>
      <c r="S80" s="3" t="str">
        <f t="shared" si="16"/>
        <v>brazil</v>
      </c>
      <c r="T80" s="3" t="str">
        <f t="shared" si="17"/>
        <v>ROUND2HELL</v>
      </c>
      <c r="U80" s="3" t="str">
        <f t="shared" si="18"/>
        <v>Round2Hell</v>
      </c>
      <c r="V80" s="3">
        <f t="shared" si="19"/>
        <v>10</v>
      </c>
      <c r="W80" s="3" t="str">
        <f t="shared" si="20"/>
        <v>ROUND2HELL,Brazil</v>
      </c>
      <c r="X80" s="3" t="str">
        <f t="shared" si="21"/>
        <v>ROUND2</v>
      </c>
      <c r="Y80" s="3" t="str">
        <f t="shared" si="22"/>
        <v>2HELL</v>
      </c>
      <c r="Z80" s="3" t="str">
        <f t="shared" si="23"/>
        <v>ELL</v>
      </c>
      <c r="AA80" s="3" t="str">
        <f t="shared" si="24"/>
        <v>ROUND2 2HELL ELL</v>
      </c>
      <c r="AB80" s="3" t="str">
        <f t="shared" si="25"/>
        <v>A - 0</v>
      </c>
      <c r="AC80" s="3" t="str">
        <f t="shared" si="26"/>
        <v>ROUND2HELL</v>
      </c>
      <c r="AD80" s="3" t="str">
        <f t="shared" si="27"/>
        <v>ROUND2BBBBBB</v>
      </c>
      <c r="AE80" s="20" t="str">
        <f t="shared" si="28"/>
        <v>ROUND2HELL</v>
      </c>
      <c r="AF80" s="3" t="str">
        <f t="shared" si="29"/>
        <v>ROUND2HELL</v>
      </c>
    </row>
    <row r="81" spans="5:32" ht="15.6" thickTop="1" thickBot="1">
      <c r="E81" s="9"/>
      <c r="I81" s="10"/>
      <c r="M81" s="3">
        <v>79</v>
      </c>
      <c r="N81" s="3" t="s">
        <v>148</v>
      </c>
      <c r="O81" s="3" t="s">
        <v>122</v>
      </c>
      <c r="P81" s="3" t="s">
        <v>96</v>
      </c>
      <c r="Q81" s="3" t="s">
        <v>138</v>
      </c>
      <c r="R81" s="3" t="str">
        <f t="shared" si="15"/>
        <v>ROUND2HELL</v>
      </c>
      <c r="S81" s="3" t="str">
        <f t="shared" si="16"/>
        <v>usa</v>
      </c>
      <c r="T81" s="3" t="str">
        <f t="shared" si="17"/>
        <v>Round2hell</v>
      </c>
      <c r="U81" s="3" t="str">
        <f t="shared" si="18"/>
        <v>Round2Hell</v>
      </c>
      <c r="V81" s="3">
        <f t="shared" si="19"/>
        <v>10</v>
      </c>
      <c r="W81" s="3" t="str">
        <f t="shared" si="20"/>
        <v>Round2hell,USA</v>
      </c>
      <c r="X81" s="3" t="str">
        <f t="shared" si="21"/>
        <v>ROUND2</v>
      </c>
      <c r="Y81" s="3" t="str">
        <f t="shared" si="22"/>
        <v>2HELL</v>
      </c>
      <c r="Z81" s="3" t="str">
        <f t="shared" si="23"/>
        <v>ELL</v>
      </c>
      <c r="AA81" s="3" t="str">
        <f t="shared" si="24"/>
        <v>ROUND2 2HELL ELL</v>
      </c>
      <c r="AB81" s="3" t="str">
        <f t="shared" si="25"/>
        <v>A - 0</v>
      </c>
      <c r="AC81" s="3" t="str">
        <f t="shared" si="26"/>
        <v>Round2hell</v>
      </c>
      <c r="AD81" s="3" t="str">
        <f t="shared" si="27"/>
        <v>Round2BBBBBB</v>
      </c>
      <c r="AE81" s="20" t="str">
        <f t="shared" si="28"/>
        <v>Round2hell</v>
      </c>
      <c r="AF81" s="3" t="str">
        <f t="shared" si="29"/>
        <v>Round2hell</v>
      </c>
    </row>
    <row r="82" spans="5:32" ht="15.6" thickTop="1" thickBot="1">
      <c r="E82" s="9"/>
      <c r="I82" s="10"/>
      <c r="M82" s="3">
        <v>80</v>
      </c>
      <c r="N82" s="3" t="s">
        <v>177</v>
      </c>
      <c r="O82" s="3" t="s">
        <v>91</v>
      </c>
      <c r="P82" s="3" t="s">
        <v>136</v>
      </c>
      <c r="Q82" s="3" t="s">
        <v>138</v>
      </c>
      <c r="R82" s="3" t="str">
        <f t="shared" si="15"/>
        <v>FACTTECHZ</v>
      </c>
      <c r="S82" s="3" t="str">
        <f t="shared" si="16"/>
        <v xml:space="preserve">india </v>
      </c>
      <c r="T82" s="3" t="str">
        <f t="shared" si="17"/>
        <v>FactTechz</v>
      </c>
      <c r="U82" s="3" t="str">
        <f t="shared" si="18"/>
        <v>Facttechz</v>
      </c>
      <c r="V82" s="3">
        <f t="shared" si="19"/>
        <v>9</v>
      </c>
      <c r="W82" s="3" t="str">
        <f t="shared" si="20"/>
        <v xml:space="preserve">FactTechz,India </v>
      </c>
      <c r="X82" s="3" t="str">
        <f t="shared" si="21"/>
        <v>FACTTE</v>
      </c>
      <c r="Y82" s="3" t="str">
        <f t="shared" si="22"/>
        <v>TECHZ</v>
      </c>
      <c r="Z82" s="3" t="str">
        <f t="shared" si="23"/>
        <v>HZ</v>
      </c>
      <c r="AA82" s="3" t="str">
        <f t="shared" si="24"/>
        <v>FACTTE TECHZ HZ</v>
      </c>
      <c r="AB82" s="3" t="str">
        <f t="shared" si="25"/>
        <v>A - 1</v>
      </c>
      <c r="AC82" s="3" t="str">
        <f t="shared" si="26"/>
        <v>FbctTechz</v>
      </c>
      <c r="AD82" s="3" t="str">
        <f t="shared" si="27"/>
        <v>FactTeBBBBBB</v>
      </c>
      <c r="AE82" s="20" t="str">
        <f t="shared" si="28"/>
        <v>FactTechz</v>
      </c>
      <c r="AF82" s="3" t="str">
        <f t="shared" si="29"/>
        <v>FactTechz</v>
      </c>
    </row>
    <row r="83" spans="5:32" ht="15.6" thickTop="1" thickBot="1">
      <c r="E83" s="9"/>
      <c r="I83" s="10"/>
      <c r="M83" s="3">
        <v>81</v>
      </c>
      <c r="N83" s="3" t="s">
        <v>105</v>
      </c>
      <c r="O83" s="3" t="s">
        <v>44</v>
      </c>
      <c r="P83" s="3" t="s">
        <v>92</v>
      </c>
      <c r="Q83" s="3" t="s">
        <v>97</v>
      </c>
      <c r="R83" s="3" t="str">
        <f t="shared" si="15"/>
        <v>TECHNICAL GURUJI</v>
      </c>
      <c r="S83" s="3" t="str">
        <f t="shared" si="16"/>
        <v>japan</v>
      </c>
      <c r="T83" s="3" t="str">
        <f t="shared" si="17"/>
        <v>Technical Guruji</v>
      </c>
      <c r="U83" s="3" t="str">
        <f t="shared" si="18"/>
        <v>Technical Guruji</v>
      </c>
      <c r="V83" s="3">
        <f t="shared" si="19"/>
        <v>15</v>
      </c>
      <c r="W83" s="3" t="str">
        <f t="shared" si="20"/>
        <v>Technical Guruji,Japan</v>
      </c>
      <c r="X83" s="3" t="str">
        <f t="shared" si="21"/>
        <v>TECHNI</v>
      </c>
      <c r="Y83" s="3" t="str">
        <f t="shared" si="22"/>
        <v>URUJI</v>
      </c>
      <c r="Z83" s="3" t="str">
        <f t="shared" si="23"/>
        <v>AL GU</v>
      </c>
      <c r="AA83" s="3" t="str">
        <f t="shared" si="24"/>
        <v>TECHNI URUJI AL GU</v>
      </c>
      <c r="AB83" s="3" t="str">
        <f t="shared" si="25"/>
        <v>A - 1</v>
      </c>
      <c r="AC83" s="3" t="str">
        <f t="shared" si="26"/>
        <v>Technicbl Guruji</v>
      </c>
      <c r="AD83" s="3" t="str">
        <f t="shared" si="27"/>
        <v>TechniBBBBBB</v>
      </c>
      <c r="AE83" s="20" t="str">
        <f t="shared" si="28"/>
        <v>Technical Guruji</v>
      </c>
      <c r="AF83" s="3" t="str">
        <f t="shared" si="29"/>
        <v>Guruji</v>
      </c>
    </row>
    <row r="84" spans="5:32" ht="15.6" thickTop="1" thickBot="1">
      <c r="E84" s="9"/>
      <c r="I84" s="10"/>
      <c r="M84" s="3">
        <v>82</v>
      </c>
      <c r="N84" s="3" t="s">
        <v>175</v>
      </c>
      <c r="O84" s="3" t="s">
        <v>116</v>
      </c>
      <c r="P84" s="3" t="s">
        <v>108</v>
      </c>
      <c r="Q84" s="3" t="s">
        <v>93</v>
      </c>
      <c r="R84" s="3" t="str">
        <f t="shared" si="15"/>
        <v>TRIGGERED INSAAN</v>
      </c>
      <c r="S84" s="3" t="str">
        <f t="shared" si="16"/>
        <v xml:space="preserve"> united states </v>
      </c>
      <c r="T84" s="3" t="str">
        <f t="shared" si="17"/>
        <v>TRIGGERED INSAAN</v>
      </c>
      <c r="U84" s="3" t="str">
        <f t="shared" si="18"/>
        <v>Triggered Insaan</v>
      </c>
      <c r="V84" s="3">
        <f t="shared" si="19"/>
        <v>15</v>
      </c>
      <c r="W84" s="3" t="str">
        <f t="shared" si="20"/>
        <v xml:space="preserve">TRIGGERED INSAAN, United States </v>
      </c>
      <c r="X84" s="3" t="str">
        <f t="shared" si="21"/>
        <v>TRIGGE</v>
      </c>
      <c r="Y84" s="3" t="str">
        <f t="shared" si="22"/>
        <v>NSAAN</v>
      </c>
      <c r="Z84" s="3" t="str">
        <f t="shared" si="23"/>
        <v>ED IN</v>
      </c>
      <c r="AA84" s="3" t="str">
        <f t="shared" si="24"/>
        <v>TRIGGE NSAAN ED IN</v>
      </c>
      <c r="AB84" s="3" t="str">
        <f t="shared" si="25"/>
        <v>A - 2</v>
      </c>
      <c r="AC84" s="3" t="str">
        <f t="shared" si="26"/>
        <v>TRIGGERED INSAAN</v>
      </c>
      <c r="AD84" s="3" t="str">
        <f t="shared" si="27"/>
        <v>TRIGGEBBBBBB</v>
      </c>
      <c r="AE84" s="20" t="str">
        <f t="shared" si="28"/>
        <v>TRIGGERED INSAAN</v>
      </c>
      <c r="AF84" s="3" t="str">
        <f t="shared" si="29"/>
        <v>INSAAN</v>
      </c>
    </row>
    <row r="85" spans="5:32" ht="15.6" thickTop="1" thickBot="1">
      <c r="E85" s="9"/>
      <c r="I85" s="10"/>
      <c r="M85" s="3">
        <v>83</v>
      </c>
      <c r="N85" s="3" t="s">
        <v>178</v>
      </c>
      <c r="O85" s="3" t="s">
        <v>95</v>
      </c>
      <c r="P85" s="3" t="s">
        <v>96</v>
      </c>
      <c r="Q85" s="3" t="s">
        <v>117</v>
      </c>
      <c r="R85" s="3" t="str">
        <f t="shared" si="15"/>
        <v>MRBEAST</v>
      </c>
      <c r="S85" s="3" t="str">
        <f t="shared" si="16"/>
        <v>mexico</v>
      </c>
      <c r="T85" s="3" t="str">
        <f t="shared" si="17"/>
        <v>mrbeast</v>
      </c>
      <c r="U85" s="3" t="str">
        <f t="shared" si="18"/>
        <v>Mrbeast</v>
      </c>
      <c r="V85" s="3">
        <f t="shared" si="19"/>
        <v>7</v>
      </c>
      <c r="W85" s="3" t="str">
        <f t="shared" si="20"/>
        <v>mrbeast,Mexico</v>
      </c>
      <c r="X85" s="3" t="str">
        <f t="shared" si="21"/>
        <v>MRBEAS</v>
      </c>
      <c r="Y85" s="3" t="str">
        <f t="shared" si="22"/>
        <v>BEAST</v>
      </c>
      <c r="Z85" s="3" t="str">
        <f t="shared" si="23"/>
        <v/>
      </c>
      <c r="AA85" s="3" t="str">
        <f t="shared" si="24"/>
        <v xml:space="preserve">MRBEAS BEAST </v>
      </c>
      <c r="AB85" s="3" t="str">
        <f t="shared" si="25"/>
        <v>A - 1</v>
      </c>
      <c r="AC85" s="3" t="str">
        <f t="shared" si="26"/>
        <v>mrbebst</v>
      </c>
      <c r="AD85" s="3" t="str">
        <f t="shared" si="27"/>
        <v>mrbeasBBBBBB</v>
      </c>
      <c r="AE85" s="20" t="str">
        <f t="shared" si="28"/>
        <v>mrbeast</v>
      </c>
      <c r="AF85" s="3" t="str">
        <f t="shared" si="29"/>
        <v>mrbeast</v>
      </c>
    </row>
    <row r="86" spans="5:32" ht="15.6" thickTop="1" thickBot="1">
      <c r="E86" s="9"/>
      <c r="I86" s="10"/>
      <c r="M86" s="3">
        <v>84</v>
      </c>
      <c r="N86" s="3" t="s">
        <v>179</v>
      </c>
      <c r="O86" s="3" t="s">
        <v>95</v>
      </c>
      <c r="P86" s="3" t="s">
        <v>131</v>
      </c>
      <c r="Q86" s="3" t="s">
        <v>117</v>
      </c>
      <c r="R86" s="3" t="str">
        <f t="shared" si="15"/>
        <v>YRF</v>
      </c>
      <c r="S86" s="3" t="str">
        <f t="shared" si="16"/>
        <v>mexico</v>
      </c>
      <c r="T86" s="3" t="str">
        <f t="shared" si="17"/>
        <v>YRF</v>
      </c>
      <c r="U86" s="3" t="str">
        <f t="shared" si="18"/>
        <v>Yrf</v>
      </c>
      <c r="V86" s="3">
        <f t="shared" si="19"/>
        <v>3</v>
      </c>
      <c r="W86" s="3" t="str">
        <f t="shared" si="20"/>
        <v>YRF,Mexico</v>
      </c>
      <c r="X86" s="3" t="str">
        <f t="shared" si="21"/>
        <v>YRF</v>
      </c>
      <c r="Y86" s="3" t="str">
        <f t="shared" si="22"/>
        <v>YRF</v>
      </c>
      <c r="Z86" s="3" t="str">
        <f t="shared" si="23"/>
        <v/>
      </c>
      <c r="AA86" s="3" t="str">
        <f t="shared" si="24"/>
        <v xml:space="preserve">YRF YRF </v>
      </c>
      <c r="AB86" s="3" t="str">
        <f t="shared" si="25"/>
        <v>A - 0</v>
      </c>
      <c r="AC86" s="3" t="str">
        <f t="shared" si="26"/>
        <v>YRF</v>
      </c>
      <c r="AD86" s="3" t="str">
        <f t="shared" si="27"/>
        <v>YRFBBBBBB</v>
      </c>
      <c r="AE86" s="20" t="str">
        <f t="shared" si="28"/>
        <v>YRF</v>
      </c>
      <c r="AF86" s="3" t="str">
        <f t="shared" si="29"/>
        <v>YRF</v>
      </c>
    </row>
    <row r="87" spans="5:32" ht="15.6" thickTop="1" thickBot="1">
      <c r="E87" s="9"/>
      <c r="I87" s="10"/>
      <c r="M87" s="3">
        <v>85</v>
      </c>
      <c r="N87" s="3" t="s">
        <v>180</v>
      </c>
      <c r="O87" s="3" t="s">
        <v>87</v>
      </c>
      <c r="P87" s="3" t="s">
        <v>119</v>
      </c>
      <c r="Q87" s="3" t="s">
        <v>97</v>
      </c>
      <c r="R87" s="3" t="str">
        <f t="shared" si="15"/>
        <v xml:space="preserve">TRIGGERED INSAAN  </v>
      </c>
      <c r="S87" s="3" t="str">
        <f t="shared" si="16"/>
        <v>brazil</v>
      </c>
      <c r="T87" s="3" t="str">
        <f t="shared" si="17"/>
        <v>TRIGGERED INSAAN</v>
      </c>
      <c r="U87" s="3" t="str">
        <f t="shared" si="18"/>
        <v>Triggered Insaan</v>
      </c>
      <c r="V87" s="3">
        <f t="shared" si="19"/>
        <v>15</v>
      </c>
      <c r="W87" s="3" t="str">
        <f t="shared" si="20"/>
        <v>TRIGGERED INSAAN  ,Brazil</v>
      </c>
      <c r="X87" s="3" t="str">
        <f t="shared" si="21"/>
        <v>TRIGGE</v>
      </c>
      <c r="Y87" s="3" t="str">
        <f t="shared" si="22"/>
        <v xml:space="preserve">AAN  </v>
      </c>
      <c r="Z87" s="3" t="str">
        <f t="shared" si="23"/>
        <v>ED IN</v>
      </c>
      <c r="AA87" s="3" t="str">
        <f t="shared" si="24"/>
        <v>TRIGGE AAN   ED IN</v>
      </c>
      <c r="AB87" s="3" t="str">
        <f t="shared" si="25"/>
        <v>A - 2</v>
      </c>
      <c r="AC87" s="3" t="str">
        <f t="shared" si="26"/>
        <v xml:space="preserve">TRIGGERED INSAAN  </v>
      </c>
      <c r="AD87" s="3" t="str">
        <f t="shared" si="27"/>
        <v>TRIGGEBBBBBB</v>
      </c>
      <c r="AE87" s="20" t="str">
        <f t="shared" si="28"/>
        <v>TRIGGERED INSAAN</v>
      </c>
      <c r="AF87" s="3" t="str">
        <f t="shared" si="29"/>
        <v>INSAAN</v>
      </c>
    </row>
    <row r="88" spans="5:32" ht="15.6" thickTop="1" thickBot="1">
      <c r="E88" s="9"/>
      <c r="I88" s="10"/>
      <c r="M88" s="3">
        <v>86</v>
      </c>
      <c r="N88" s="3" t="s">
        <v>135</v>
      </c>
      <c r="O88" s="3" t="s">
        <v>122</v>
      </c>
      <c r="P88" s="3" t="s">
        <v>136</v>
      </c>
      <c r="Q88" s="3" t="s">
        <v>138</v>
      </c>
      <c r="R88" s="3" t="str">
        <f t="shared" si="15"/>
        <v>BB KI VINES</v>
      </c>
      <c r="S88" s="3" t="str">
        <f t="shared" si="16"/>
        <v>usa</v>
      </c>
      <c r="T88" s="3" t="str">
        <f t="shared" si="17"/>
        <v>bb ki vines</v>
      </c>
      <c r="U88" s="3" t="str">
        <f t="shared" si="18"/>
        <v>Bb Ki Vines</v>
      </c>
      <c r="V88" s="3">
        <f t="shared" si="19"/>
        <v>9</v>
      </c>
      <c r="W88" s="3" t="str">
        <f t="shared" si="20"/>
        <v>bb ki vines,USA</v>
      </c>
      <c r="X88" s="3" t="str">
        <f t="shared" si="21"/>
        <v xml:space="preserve">BB KI </v>
      </c>
      <c r="Y88" s="3" t="str">
        <f t="shared" si="22"/>
        <v>VINES</v>
      </c>
      <c r="Z88" s="3" t="str">
        <f t="shared" si="23"/>
        <v>INES</v>
      </c>
      <c r="AA88" s="3" t="str">
        <f t="shared" si="24"/>
        <v>BB KI  VINES INES</v>
      </c>
      <c r="AB88" s="3" t="str">
        <f t="shared" si="25"/>
        <v>A - 0</v>
      </c>
      <c r="AC88" s="3" t="str">
        <f t="shared" si="26"/>
        <v>bb ki vines</v>
      </c>
      <c r="AD88" s="3" t="str">
        <f t="shared" si="27"/>
        <v>bb ki BBBBBB</v>
      </c>
      <c r="AE88" s="20" t="str">
        <f t="shared" si="28"/>
        <v>bb ki</v>
      </c>
      <c r="AF88" s="3" t="str">
        <f t="shared" si="29"/>
        <v>vines</v>
      </c>
    </row>
    <row r="89" spans="5:32" ht="15.6" thickTop="1" thickBot="1">
      <c r="E89" s="9"/>
      <c r="I89" s="10"/>
      <c r="M89" s="3">
        <v>87</v>
      </c>
      <c r="N89" s="3" t="s">
        <v>141</v>
      </c>
      <c r="O89" s="3" t="s">
        <v>107</v>
      </c>
      <c r="P89" s="3" t="s">
        <v>131</v>
      </c>
      <c r="Q89" s="3" t="s">
        <v>97</v>
      </c>
      <c r="R89" s="3" t="str">
        <f t="shared" si="15"/>
        <v>VANOSSGAMING</v>
      </c>
      <c r="S89" s="3" t="str">
        <f t="shared" si="16"/>
        <v>sweden</v>
      </c>
      <c r="T89" s="3" t="str">
        <f t="shared" si="17"/>
        <v>VanossGaming</v>
      </c>
      <c r="U89" s="3" t="str">
        <f t="shared" si="18"/>
        <v>Vanossgaming</v>
      </c>
      <c r="V89" s="3">
        <f t="shared" si="19"/>
        <v>12</v>
      </c>
      <c r="W89" s="3" t="str">
        <f t="shared" si="20"/>
        <v>VanossGaming,Sweden</v>
      </c>
      <c r="X89" s="3" t="str">
        <f t="shared" si="21"/>
        <v>VANOSS</v>
      </c>
      <c r="Y89" s="3" t="str">
        <f t="shared" si="22"/>
        <v>AMING</v>
      </c>
      <c r="Z89" s="3" t="str">
        <f t="shared" si="23"/>
        <v>AMING</v>
      </c>
      <c r="AA89" s="3" t="str">
        <f t="shared" si="24"/>
        <v>VANOSS AMING AMING</v>
      </c>
      <c r="AB89" s="3" t="str">
        <f t="shared" si="25"/>
        <v>A - 2</v>
      </c>
      <c r="AC89" s="3" t="str">
        <f t="shared" si="26"/>
        <v>VbnossGbming</v>
      </c>
      <c r="AD89" s="3" t="str">
        <f t="shared" si="27"/>
        <v>VanossBBBBBB</v>
      </c>
      <c r="AE89" s="20" t="str">
        <f t="shared" si="28"/>
        <v>VanossGaming</v>
      </c>
      <c r="AF89" s="3" t="str">
        <f t="shared" si="29"/>
        <v>VanossGaming</v>
      </c>
    </row>
    <row r="90" spans="5:32" ht="15.6" thickTop="1" thickBot="1">
      <c r="E90" s="9"/>
      <c r="I90" s="10"/>
      <c r="M90" s="3">
        <v>88</v>
      </c>
      <c r="N90" s="3" t="s">
        <v>153</v>
      </c>
      <c r="O90" s="3" t="s">
        <v>116</v>
      </c>
      <c r="P90" s="3" t="s">
        <v>108</v>
      </c>
      <c r="Q90" s="3" t="s">
        <v>138</v>
      </c>
      <c r="R90" s="3" t="str">
        <f t="shared" si="15"/>
        <v>PEWDIEPIE</v>
      </c>
      <c r="S90" s="3" t="str">
        <f t="shared" si="16"/>
        <v xml:space="preserve"> united states </v>
      </c>
      <c r="T90" s="3" t="str">
        <f t="shared" si="17"/>
        <v>PEWDIEPIE</v>
      </c>
      <c r="U90" s="3" t="str">
        <f t="shared" si="18"/>
        <v>Pewdiepie</v>
      </c>
      <c r="V90" s="3">
        <f t="shared" si="19"/>
        <v>9</v>
      </c>
      <c r="W90" s="3" t="str">
        <f t="shared" si="20"/>
        <v xml:space="preserve">PEWDIEPIE, United States </v>
      </c>
      <c r="X90" s="3" t="str">
        <f t="shared" si="21"/>
        <v>PEWDIE</v>
      </c>
      <c r="Y90" s="3" t="str">
        <f t="shared" si="22"/>
        <v>IEPIE</v>
      </c>
      <c r="Z90" s="3" t="str">
        <f t="shared" si="23"/>
        <v>IE</v>
      </c>
      <c r="AA90" s="3" t="str">
        <f t="shared" si="24"/>
        <v>PEWDIE IEPIE IE</v>
      </c>
      <c r="AB90" s="3" t="str">
        <f t="shared" si="25"/>
        <v>A - 0</v>
      </c>
      <c r="AC90" s="3" t="str">
        <f t="shared" si="26"/>
        <v>PEWDIEPIE</v>
      </c>
      <c r="AD90" s="3" t="str">
        <f t="shared" si="27"/>
        <v>PEWDIEBBBBBB</v>
      </c>
      <c r="AE90" s="20" t="str">
        <f t="shared" si="28"/>
        <v>PEWDIEPIE</v>
      </c>
      <c r="AF90" s="3" t="str">
        <f t="shared" si="29"/>
        <v>PEWDIEPIE</v>
      </c>
    </row>
    <row r="91" spans="5:32" ht="15.6" thickTop="1" thickBot="1">
      <c r="E91" s="9"/>
      <c r="I91" s="10"/>
      <c r="M91" s="3">
        <v>89</v>
      </c>
      <c r="N91" s="3" t="s">
        <v>106</v>
      </c>
      <c r="O91" s="3" t="s">
        <v>107</v>
      </c>
      <c r="P91" s="3" t="s">
        <v>126</v>
      </c>
      <c r="Q91" s="3" t="s">
        <v>117</v>
      </c>
      <c r="R91" s="3" t="str">
        <f t="shared" si="15"/>
        <v>MYSMARTPRICE</v>
      </c>
      <c r="S91" s="3" t="str">
        <f t="shared" si="16"/>
        <v>sweden</v>
      </c>
      <c r="T91" s="3" t="str">
        <f t="shared" si="17"/>
        <v>MySmartPrice</v>
      </c>
      <c r="U91" s="3" t="str">
        <f t="shared" si="18"/>
        <v>Mysmartprice</v>
      </c>
      <c r="V91" s="3">
        <f t="shared" si="19"/>
        <v>12</v>
      </c>
      <c r="W91" s="3" t="str">
        <f t="shared" si="20"/>
        <v>MySmartPrice,Sweden</v>
      </c>
      <c r="X91" s="3" t="str">
        <f t="shared" si="21"/>
        <v>MYSMAR</v>
      </c>
      <c r="Y91" s="3" t="str">
        <f t="shared" si="22"/>
        <v>PRICE</v>
      </c>
      <c r="Z91" s="3" t="str">
        <f t="shared" si="23"/>
        <v>PRICE</v>
      </c>
      <c r="AA91" s="3" t="str">
        <f t="shared" si="24"/>
        <v>MYSMAR PRICE PRICE</v>
      </c>
      <c r="AB91" s="3" t="str">
        <f t="shared" si="25"/>
        <v>A - 1</v>
      </c>
      <c r="AC91" s="3" t="str">
        <f t="shared" si="26"/>
        <v>MySmbrtPrice</v>
      </c>
      <c r="AD91" s="3" t="str">
        <f t="shared" si="27"/>
        <v>MySmarBBBBBB</v>
      </c>
      <c r="AE91" s="20" t="str">
        <f t="shared" si="28"/>
        <v>MySmartPrice</v>
      </c>
      <c r="AF91" s="3" t="str">
        <f t="shared" si="29"/>
        <v>MySmartPrice</v>
      </c>
    </row>
    <row r="92" spans="5:32" ht="15.6" thickTop="1" thickBot="1">
      <c r="E92" s="9"/>
      <c r="I92" s="10"/>
      <c r="M92" s="3">
        <v>90</v>
      </c>
      <c r="N92" s="3" t="s">
        <v>142</v>
      </c>
      <c r="O92" s="3" t="s">
        <v>32</v>
      </c>
      <c r="P92" s="3" t="s">
        <v>131</v>
      </c>
      <c r="Q92" s="3" t="s">
        <v>124</v>
      </c>
      <c r="R92" s="3" t="str">
        <f t="shared" si="15"/>
        <v>COCOMELON - NURSERY RHYMES</v>
      </c>
      <c r="S92" s="3" t="str">
        <f t="shared" si="16"/>
        <v>canada</v>
      </c>
      <c r="T92" s="3" t="str">
        <f t="shared" si="17"/>
        <v>coComelon - Nursery rhymes</v>
      </c>
      <c r="U92" s="3" t="str">
        <f t="shared" si="18"/>
        <v>Cocomelon - Nursery Rhymes</v>
      </c>
      <c r="V92" s="3">
        <f t="shared" si="19"/>
        <v>23</v>
      </c>
      <c r="W92" s="3" t="str">
        <f t="shared" si="20"/>
        <v>coComelon - Nursery rhymes,Canada</v>
      </c>
      <c r="X92" s="3" t="str">
        <f t="shared" si="21"/>
        <v>COCOME</v>
      </c>
      <c r="Y92" s="3" t="str">
        <f t="shared" si="22"/>
        <v>HYMES</v>
      </c>
      <c r="Z92" s="3" t="str">
        <f t="shared" si="23"/>
        <v xml:space="preserve">ON - </v>
      </c>
      <c r="AA92" s="3" t="str">
        <f t="shared" si="24"/>
        <v xml:space="preserve">COCOME HYMES ON - </v>
      </c>
      <c r="AB92" s="3" t="str">
        <f t="shared" si="25"/>
        <v>A - 0</v>
      </c>
      <c r="AC92" s="3" t="str">
        <f t="shared" si="26"/>
        <v>coComelon - Nursery rhymes</v>
      </c>
      <c r="AD92" s="3" t="str">
        <f t="shared" si="27"/>
        <v>coComeBBBBBBmes</v>
      </c>
      <c r="AE92" s="20" t="str">
        <f t="shared" si="28"/>
        <v>coComelon -</v>
      </c>
      <c r="AF92" s="3" t="str">
        <f t="shared" si="29"/>
        <v>rhymes</v>
      </c>
    </row>
    <row r="93" spans="5:32" ht="15.6" thickTop="1" thickBot="1">
      <c r="E93" s="9"/>
      <c r="I93" s="10"/>
      <c r="M93" s="3">
        <v>91</v>
      </c>
      <c r="N93" s="3" t="s">
        <v>160</v>
      </c>
      <c r="O93" s="3" t="s">
        <v>116</v>
      </c>
      <c r="P93" s="3" t="s">
        <v>136</v>
      </c>
      <c r="Q93" s="3" t="s">
        <v>117</v>
      </c>
      <c r="R93" s="3" t="str">
        <f t="shared" si="15"/>
        <v>KIDS DIANA SHOW</v>
      </c>
      <c r="S93" s="3" t="str">
        <f t="shared" si="16"/>
        <v xml:space="preserve"> united states </v>
      </c>
      <c r="T93" s="3" t="str">
        <f t="shared" si="17"/>
        <v>KIDS DIANA SHOW</v>
      </c>
      <c r="U93" s="3" t="str">
        <f t="shared" si="18"/>
        <v>Kids Diana Show</v>
      </c>
      <c r="V93" s="3">
        <f t="shared" si="19"/>
        <v>13</v>
      </c>
      <c r="W93" s="3" t="str">
        <f t="shared" si="20"/>
        <v xml:space="preserve">KIDS DIANA SHOW, United States </v>
      </c>
      <c r="X93" s="3" t="str">
        <f t="shared" si="21"/>
        <v>KIDS D</v>
      </c>
      <c r="Y93" s="3" t="str">
        <f t="shared" si="22"/>
        <v xml:space="preserve"> SHOW</v>
      </c>
      <c r="Z93" s="3" t="str">
        <f t="shared" si="23"/>
        <v>ANA S</v>
      </c>
      <c r="AA93" s="3" t="str">
        <f t="shared" si="24"/>
        <v>KIDS D  SHOW ANA S</v>
      </c>
      <c r="AB93" s="3" t="str">
        <f t="shared" si="25"/>
        <v>A - 2</v>
      </c>
      <c r="AC93" s="3" t="str">
        <f t="shared" si="26"/>
        <v>KIDS DIANA SHOW</v>
      </c>
      <c r="AD93" s="3" t="str">
        <f t="shared" si="27"/>
        <v>KIDS DBBBBBB</v>
      </c>
      <c r="AE93" s="20" t="str">
        <f t="shared" si="28"/>
        <v>KIDS DIANA</v>
      </c>
      <c r="AF93" s="3" t="str">
        <f t="shared" si="29"/>
        <v>SHOW</v>
      </c>
    </row>
    <row r="94" spans="5:32" ht="15.6" thickTop="1" thickBot="1">
      <c r="E94" s="9"/>
      <c r="I94" s="10"/>
      <c r="M94" s="3">
        <v>92</v>
      </c>
      <c r="N94" s="3" t="s">
        <v>141</v>
      </c>
      <c r="O94" s="3" t="s">
        <v>95</v>
      </c>
      <c r="P94" s="3" t="s">
        <v>92</v>
      </c>
      <c r="Q94" s="3" t="s">
        <v>89</v>
      </c>
      <c r="R94" s="3" t="str">
        <f t="shared" si="15"/>
        <v>VANOSSGAMING</v>
      </c>
      <c r="S94" s="3" t="str">
        <f t="shared" si="16"/>
        <v>mexico</v>
      </c>
      <c r="T94" s="3" t="str">
        <f t="shared" si="17"/>
        <v>VanossGaming</v>
      </c>
      <c r="U94" s="3" t="str">
        <f t="shared" si="18"/>
        <v>Vanossgaming</v>
      </c>
      <c r="V94" s="3">
        <f t="shared" si="19"/>
        <v>12</v>
      </c>
      <c r="W94" s="3" t="str">
        <f t="shared" si="20"/>
        <v>VanossGaming,Mexico</v>
      </c>
      <c r="X94" s="3" t="str">
        <f t="shared" si="21"/>
        <v>VANOSS</v>
      </c>
      <c r="Y94" s="3" t="str">
        <f t="shared" si="22"/>
        <v>AMING</v>
      </c>
      <c r="Z94" s="3" t="str">
        <f t="shared" si="23"/>
        <v>AMING</v>
      </c>
      <c r="AA94" s="3" t="str">
        <f t="shared" si="24"/>
        <v>VANOSS AMING AMING</v>
      </c>
      <c r="AB94" s="3" t="str">
        <f t="shared" si="25"/>
        <v>A - 2</v>
      </c>
      <c r="AC94" s="3" t="str">
        <f t="shared" si="26"/>
        <v>VbnossGbming</v>
      </c>
      <c r="AD94" s="3" t="str">
        <f t="shared" si="27"/>
        <v>VanossBBBBBB</v>
      </c>
      <c r="AE94" s="20" t="str">
        <f t="shared" si="28"/>
        <v>VanossGaming</v>
      </c>
      <c r="AF94" s="3" t="str">
        <f t="shared" si="29"/>
        <v>VanossGaming</v>
      </c>
    </row>
    <row r="95" spans="5:32" ht="15.6" thickTop="1" thickBot="1">
      <c r="E95" s="9"/>
      <c r="I95" s="10"/>
      <c r="M95" s="3">
        <v>93</v>
      </c>
      <c r="N95" s="3" t="s">
        <v>86</v>
      </c>
      <c r="O95" s="3" t="s">
        <v>87</v>
      </c>
      <c r="P95" s="3" t="s">
        <v>88</v>
      </c>
      <c r="Q95" s="3" t="s">
        <v>89</v>
      </c>
      <c r="R95" s="3" t="str">
        <f t="shared" si="15"/>
        <v>MARKIPLIER</v>
      </c>
      <c r="S95" s="3" t="str">
        <f t="shared" si="16"/>
        <v>brazil</v>
      </c>
      <c r="T95" s="3" t="str">
        <f t="shared" si="17"/>
        <v>Markiplier</v>
      </c>
      <c r="U95" s="3" t="str">
        <f t="shared" si="18"/>
        <v>Markiplier</v>
      </c>
      <c r="V95" s="3">
        <f t="shared" si="19"/>
        <v>10</v>
      </c>
      <c r="W95" s="3" t="str">
        <f t="shared" si="20"/>
        <v>Markiplier,Brazil</v>
      </c>
      <c r="X95" s="3" t="str">
        <f t="shared" si="21"/>
        <v>MARKIP</v>
      </c>
      <c r="Y95" s="3" t="str">
        <f t="shared" si="22"/>
        <v>PLIER</v>
      </c>
      <c r="Z95" s="3" t="str">
        <f t="shared" si="23"/>
        <v>IER</v>
      </c>
      <c r="AA95" s="3" t="str">
        <f t="shared" si="24"/>
        <v>MARKIP PLIER IER</v>
      </c>
      <c r="AB95" s="3" t="str">
        <f t="shared" si="25"/>
        <v>A - 1</v>
      </c>
      <c r="AC95" s="3" t="str">
        <f t="shared" si="26"/>
        <v>Mbrkiplier</v>
      </c>
      <c r="AD95" s="3" t="str">
        <f t="shared" si="27"/>
        <v>MarkipBBBBBB</v>
      </c>
      <c r="AE95" s="20" t="str">
        <f t="shared" si="28"/>
        <v>Markiplier</v>
      </c>
      <c r="AF95" s="3" t="str">
        <f t="shared" si="29"/>
        <v>Markiplier</v>
      </c>
    </row>
    <row r="96" spans="5:32" ht="15.6" thickTop="1" thickBot="1">
      <c r="E96" s="9"/>
      <c r="I96" s="10"/>
      <c r="M96" s="3">
        <v>94</v>
      </c>
      <c r="N96" s="3" t="s">
        <v>90</v>
      </c>
      <c r="O96" s="3" t="s">
        <v>91</v>
      </c>
      <c r="P96" s="3" t="s">
        <v>92</v>
      </c>
      <c r="Q96" s="3" t="s">
        <v>93</v>
      </c>
      <c r="R96" s="3" t="str">
        <f t="shared" si="15"/>
        <v xml:space="preserve">ROUND2HELL  </v>
      </c>
      <c r="S96" s="3" t="str">
        <f t="shared" si="16"/>
        <v xml:space="preserve">india </v>
      </c>
      <c r="T96" s="3" t="str">
        <f t="shared" si="17"/>
        <v>Round2hell</v>
      </c>
      <c r="U96" s="3" t="str">
        <f t="shared" si="18"/>
        <v>Round2Hell</v>
      </c>
      <c r="V96" s="3">
        <f t="shared" si="19"/>
        <v>10</v>
      </c>
      <c r="W96" s="3" t="str">
        <f t="shared" si="20"/>
        <v xml:space="preserve">Round2hell  ,India </v>
      </c>
      <c r="X96" s="3" t="str">
        <f t="shared" si="21"/>
        <v>ROUND2</v>
      </c>
      <c r="Y96" s="3" t="str">
        <f t="shared" si="22"/>
        <v xml:space="preserve">ELL  </v>
      </c>
      <c r="Z96" s="3" t="str">
        <f t="shared" si="23"/>
        <v xml:space="preserve">ELL  </v>
      </c>
      <c r="AA96" s="3" t="str">
        <f t="shared" si="24"/>
        <v xml:space="preserve">ROUND2 ELL   ELL  </v>
      </c>
      <c r="AB96" s="3" t="str">
        <f t="shared" si="25"/>
        <v>A - 0</v>
      </c>
      <c r="AC96" s="3" t="str">
        <f t="shared" si="26"/>
        <v xml:space="preserve">Round2hell  </v>
      </c>
      <c r="AD96" s="3" t="str">
        <f t="shared" si="27"/>
        <v>Round2BBBBBB</v>
      </c>
      <c r="AE96" s="20" t="str">
        <f t="shared" si="28"/>
        <v xml:space="preserve">Round2hell </v>
      </c>
      <c r="AF96" s="3" t="str">
        <f t="shared" si="29"/>
        <v>Round2hell</v>
      </c>
    </row>
    <row r="97" spans="5:32" ht="15.6" thickTop="1" thickBot="1">
      <c r="E97" s="9"/>
      <c r="I97" s="10"/>
      <c r="M97" s="3">
        <v>95</v>
      </c>
      <c r="N97" s="3" t="s">
        <v>94</v>
      </c>
      <c r="O97" s="3" t="s">
        <v>95</v>
      </c>
      <c r="P97" s="3" t="s">
        <v>96</v>
      </c>
      <c r="Q97" s="3" t="s">
        <v>97</v>
      </c>
      <c r="R97" s="3" t="str">
        <f t="shared" si="15"/>
        <v>ZEE MUSIC COMPANY</v>
      </c>
      <c r="S97" s="3" t="str">
        <f t="shared" si="16"/>
        <v>mexico</v>
      </c>
      <c r="T97" s="3" t="str">
        <f t="shared" si="17"/>
        <v>ZEE MUSIC COMPANY</v>
      </c>
      <c r="U97" s="3" t="str">
        <f t="shared" si="18"/>
        <v>Zee Music Company</v>
      </c>
      <c r="V97" s="3">
        <f t="shared" si="19"/>
        <v>15</v>
      </c>
      <c r="W97" s="3" t="str">
        <f t="shared" si="20"/>
        <v>ZEE MUSIC COMPANY,Mexico</v>
      </c>
      <c r="X97" s="3" t="str">
        <f t="shared" si="21"/>
        <v>ZEE MU</v>
      </c>
      <c r="Y97" s="3" t="str">
        <f t="shared" si="22"/>
        <v>MPANY</v>
      </c>
      <c r="Z97" s="3" t="str">
        <f t="shared" si="23"/>
        <v>IC CO</v>
      </c>
      <c r="AA97" s="3" t="str">
        <f t="shared" si="24"/>
        <v>ZEE MU MPANY IC CO</v>
      </c>
      <c r="AB97" s="3" t="str">
        <f t="shared" si="25"/>
        <v>A - 1</v>
      </c>
      <c r="AC97" s="3" t="str">
        <f t="shared" si="26"/>
        <v>ZEE MUSIC COMPANY</v>
      </c>
      <c r="AD97" s="3" t="str">
        <f t="shared" si="27"/>
        <v>ZEE MUBBBBBB</v>
      </c>
      <c r="AE97" s="20" t="str">
        <f t="shared" si="28"/>
        <v>ZEE MUSIC</v>
      </c>
      <c r="AF97" s="3" t="str">
        <f t="shared" si="29"/>
        <v>COMPANY</v>
      </c>
    </row>
    <row r="98" spans="5:32" ht="15.6" thickTop="1" thickBot="1">
      <c r="E98" s="9"/>
      <c r="I98" s="10"/>
      <c r="M98" s="3">
        <v>96</v>
      </c>
      <c r="N98" s="3" t="s">
        <v>98</v>
      </c>
      <c r="O98" s="3" t="s">
        <v>24</v>
      </c>
      <c r="P98" s="3" t="s">
        <v>88</v>
      </c>
      <c r="Q98" s="3" t="s">
        <v>99</v>
      </c>
      <c r="R98" s="3" t="str">
        <f t="shared" si="15"/>
        <v xml:space="preserve">MRBEAST  </v>
      </c>
      <c r="S98" s="3" t="str">
        <f t="shared" si="16"/>
        <v>india</v>
      </c>
      <c r="T98" s="3" t="str">
        <f t="shared" si="17"/>
        <v>MrBeast</v>
      </c>
      <c r="U98" s="3" t="str">
        <f t="shared" si="18"/>
        <v>Mrbeast</v>
      </c>
      <c r="V98" s="3">
        <f t="shared" si="19"/>
        <v>7</v>
      </c>
      <c r="W98" s="3" t="str">
        <f t="shared" si="20"/>
        <v>MrBeast  ,India</v>
      </c>
      <c r="X98" s="3" t="str">
        <f t="shared" si="21"/>
        <v>MRBEAS</v>
      </c>
      <c r="Y98" s="3" t="str">
        <f t="shared" si="22"/>
        <v xml:space="preserve">AST  </v>
      </c>
      <c r="Z98" s="3" t="str">
        <f t="shared" si="23"/>
        <v xml:space="preserve">  </v>
      </c>
      <c r="AA98" s="3" t="str">
        <f t="shared" si="24"/>
        <v xml:space="preserve">MRBEAS AST     </v>
      </c>
      <c r="AB98" s="3" t="str">
        <f t="shared" si="25"/>
        <v>A - 1</v>
      </c>
      <c r="AC98" s="3" t="str">
        <f t="shared" si="26"/>
        <v xml:space="preserve">MrBebst  </v>
      </c>
      <c r="AD98" s="3" t="str">
        <f t="shared" si="27"/>
        <v>MrBeasBBBBBB</v>
      </c>
      <c r="AE98" s="20" t="str">
        <f t="shared" si="28"/>
        <v xml:space="preserve">MrBeast </v>
      </c>
      <c r="AF98" s="3" t="str">
        <f t="shared" si="29"/>
        <v>MrBeast</v>
      </c>
    </row>
    <row r="99" spans="5:32" ht="15.6" thickTop="1" thickBot="1">
      <c r="E99" s="9"/>
      <c r="I99" s="10"/>
      <c r="M99" s="3">
        <v>97</v>
      </c>
      <c r="N99" s="3" t="s">
        <v>100</v>
      </c>
      <c r="O99" s="3" t="s">
        <v>91</v>
      </c>
      <c r="P99" s="3" t="s">
        <v>92</v>
      </c>
      <c r="Q99" s="3" t="s">
        <v>97</v>
      </c>
      <c r="R99" s="3" t="str">
        <f t="shared" si="15"/>
        <v>CANAL KONDZILLA</v>
      </c>
      <c r="S99" s="3" t="str">
        <f t="shared" si="16"/>
        <v xml:space="preserve">india </v>
      </c>
      <c r="T99" s="3" t="str">
        <f t="shared" si="17"/>
        <v>CANAL KONDZILLA</v>
      </c>
      <c r="U99" s="3" t="str">
        <f t="shared" si="18"/>
        <v>Canal Kondzilla</v>
      </c>
      <c r="V99" s="3">
        <f t="shared" si="19"/>
        <v>14</v>
      </c>
      <c r="W99" s="3" t="str">
        <f t="shared" si="20"/>
        <v xml:space="preserve">CANAL KONDZILLA,India </v>
      </c>
      <c r="X99" s="3" t="str">
        <f t="shared" si="21"/>
        <v xml:space="preserve">CANAL </v>
      </c>
      <c r="Y99" s="3" t="str">
        <f t="shared" si="22"/>
        <v>ZILLA</v>
      </c>
      <c r="Z99" s="3" t="str">
        <f t="shared" si="23"/>
        <v>ONDZI</v>
      </c>
      <c r="AA99" s="3" t="str">
        <f t="shared" si="24"/>
        <v>CANAL  ZILLA ONDZI</v>
      </c>
      <c r="AB99" s="3" t="str">
        <f t="shared" si="25"/>
        <v>A - 3</v>
      </c>
      <c r="AC99" s="3" t="str">
        <f t="shared" si="26"/>
        <v>CANAL KONDZILLA</v>
      </c>
      <c r="AD99" s="3" t="str">
        <f t="shared" si="27"/>
        <v>CANAL BBBBBB</v>
      </c>
      <c r="AE99" s="20" t="str">
        <f t="shared" si="28"/>
        <v>CANAL KONDZILLA</v>
      </c>
      <c r="AF99" s="3" t="str">
        <f t="shared" si="29"/>
        <v>KONDZILLA</v>
      </c>
    </row>
    <row r="100" spans="5:32" ht="15.6" thickTop="1" thickBot="1">
      <c r="E100" s="9"/>
      <c r="I100" s="10"/>
      <c r="M100" s="3">
        <v>98</v>
      </c>
      <c r="N100" s="3" t="s">
        <v>101</v>
      </c>
      <c r="O100" s="3" t="s">
        <v>102</v>
      </c>
      <c r="P100" s="3" t="s">
        <v>103</v>
      </c>
      <c r="Q100" s="3" t="s">
        <v>104</v>
      </c>
      <c r="R100" s="3" t="str">
        <f t="shared" si="15"/>
        <v>TRIGGERED INSAAN</v>
      </c>
      <c r="S100" s="3" t="str">
        <f t="shared" si="16"/>
        <v xml:space="preserve"> united kingdom</v>
      </c>
      <c r="T100" s="3" t="str">
        <f t="shared" si="17"/>
        <v>Triggered Insaan</v>
      </c>
      <c r="U100" s="3" t="str">
        <f t="shared" si="18"/>
        <v>Triggered Insaan</v>
      </c>
      <c r="V100" s="3">
        <f t="shared" si="19"/>
        <v>15</v>
      </c>
      <c r="W100" s="3" t="str">
        <f t="shared" si="20"/>
        <v>Triggered Insaan, united kingdom</v>
      </c>
      <c r="X100" s="3" t="str">
        <f t="shared" si="21"/>
        <v>TRIGGE</v>
      </c>
      <c r="Y100" s="3" t="str">
        <f t="shared" si="22"/>
        <v>NSAAN</v>
      </c>
      <c r="Z100" s="3" t="str">
        <f t="shared" si="23"/>
        <v>ED IN</v>
      </c>
      <c r="AA100" s="3" t="str">
        <f t="shared" si="24"/>
        <v>TRIGGE NSAAN ED IN</v>
      </c>
      <c r="AB100" s="3" t="str">
        <f t="shared" si="25"/>
        <v>A - 2</v>
      </c>
      <c r="AC100" s="3" t="str">
        <f t="shared" si="26"/>
        <v>Triggered Insbbn</v>
      </c>
      <c r="AD100" s="3" t="str">
        <f t="shared" si="27"/>
        <v>TriggeBBBBBB</v>
      </c>
      <c r="AE100" s="20" t="str">
        <f t="shared" si="28"/>
        <v>Triggered Insaan</v>
      </c>
      <c r="AF100" s="3" t="str">
        <f t="shared" si="29"/>
        <v>Insaan</v>
      </c>
    </row>
    <row r="101" spans="5:32" ht="15.6" thickTop="1" thickBot="1">
      <c r="E101" s="9"/>
      <c r="I101" s="10"/>
      <c r="M101" s="3">
        <v>99</v>
      </c>
      <c r="N101" s="3" t="s">
        <v>105</v>
      </c>
      <c r="O101" s="3" t="s">
        <v>95</v>
      </c>
      <c r="P101" s="3" t="s">
        <v>96</v>
      </c>
      <c r="Q101" s="3" t="s">
        <v>104</v>
      </c>
      <c r="R101" s="3" t="str">
        <f t="shared" si="15"/>
        <v>TECHNICAL GURUJI</v>
      </c>
      <c r="S101" s="3" t="str">
        <f t="shared" si="16"/>
        <v>mexico</v>
      </c>
      <c r="T101" s="3" t="str">
        <f t="shared" si="17"/>
        <v>Technical Guruji</v>
      </c>
      <c r="U101" s="3" t="str">
        <f t="shared" si="18"/>
        <v>Technical Guruji</v>
      </c>
      <c r="V101" s="3">
        <f t="shared" si="19"/>
        <v>15</v>
      </c>
      <c r="W101" s="3" t="str">
        <f t="shared" si="20"/>
        <v>Technical Guruji,Mexico</v>
      </c>
      <c r="X101" s="3" t="str">
        <f t="shared" si="21"/>
        <v>TECHNI</v>
      </c>
      <c r="Y101" s="3" t="str">
        <f t="shared" si="22"/>
        <v>URUJI</v>
      </c>
      <c r="Z101" s="3" t="str">
        <f t="shared" si="23"/>
        <v>AL GU</v>
      </c>
      <c r="AA101" s="3" t="str">
        <f t="shared" si="24"/>
        <v>TECHNI URUJI AL GU</v>
      </c>
      <c r="AB101" s="3" t="str">
        <f t="shared" si="25"/>
        <v>A - 1</v>
      </c>
      <c r="AC101" s="3" t="str">
        <f t="shared" si="26"/>
        <v>Technicbl Guruji</v>
      </c>
      <c r="AD101" s="3" t="str">
        <f t="shared" si="27"/>
        <v>TechniBBBBBB</v>
      </c>
      <c r="AE101" s="20" t="str">
        <f t="shared" si="28"/>
        <v>Technical Guruji</v>
      </c>
      <c r="AF101" s="3" t="str">
        <f t="shared" si="29"/>
        <v>Guruji</v>
      </c>
    </row>
    <row r="102" spans="5:32" ht="15.6" thickTop="1" thickBot="1">
      <c r="E102" s="9"/>
      <c r="I102" s="10"/>
      <c r="M102" s="3">
        <v>100</v>
      </c>
      <c r="N102" s="3" t="s">
        <v>106</v>
      </c>
      <c r="O102" s="3" t="s">
        <v>107</v>
      </c>
      <c r="P102" s="3" t="s">
        <v>108</v>
      </c>
      <c r="Q102" s="3" t="s">
        <v>109</v>
      </c>
      <c r="R102" s="3" t="str">
        <f t="shared" si="15"/>
        <v>MYSMARTPRICE</v>
      </c>
      <c r="S102" s="3" t="str">
        <f t="shared" si="16"/>
        <v>sweden</v>
      </c>
      <c r="T102" s="3" t="str">
        <f t="shared" si="17"/>
        <v>MySmartPrice</v>
      </c>
      <c r="U102" s="3" t="str">
        <f t="shared" si="18"/>
        <v>Mysmartprice</v>
      </c>
      <c r="V102" s="3">
        <f t="shared" si="19"/>
        <v>12</v>
      </c>
      <c r="W102" s="3" t="str">
        <f t="shared" si="20"/>
        <v>MySmartPrice,Sweden</v>
      </c>
      <c r="X102" s="3" t="str">
        <f t="shared" si="21"/>
        <v>MYSMAR</v>
      </c>
      <c r="Y102" s="3" t="str">
        <f t="shared" si="22"/>
        <v>PRICE</v>
      </c>
      <c r="Z102" s="3" t="str">
        <f t="shared" si="23"/>
        <v>PRICE</v>
      </c>
      <c r="AA102" s="3" t="str">
        <f t="shared" si="24"/>
        <v>MYSMAR PRICE PRICE</v>
      </c>
      <c r="AB102" s="3" t="str">
        <f t="shared" si="25"/>
        <v>A - 1</v>
      </c>
      <c r="AC102" s="3" t="str">
        <f t="shared" si="26"/>
        <v>MySmbrtPrice</v>
      </c>
      <c r="AD102" s="3" t="str">
        <f t="shared" si="27"/>
        <v>MySmarBBBBBB</v>
      </c>
      <c r="AE102" s="20" t="str">
        <f t="shared" si="28"/>
        <v>MySmartPrice</v>
      </c>
      <c r="AF102" s="3" t="str">
        <f t="shared" si="29"/>
        <v>MySmartPrice</v>
      </c>
    </row>
    <row r="103" spans="5:32" ht="15" thickTop="1">
      <c r="E103" s="9"/>
      <c r="I103" s="10"/>
    </row>
    <row r="104" spans="5:32">
      <c r="E104" s="9"/>
      <c r="I104" s="10"/>
    </row>
    <row r="105" spans="5:32" ht="15.6">
      <c r="E105" s="9"/>
      <c r="I105" s="10"/>
      <c r="M105" s="22" t="s">
        <v>199</v>
      </c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spans="5:32">
      <c r="E106" s="9"/>
      <c r="I106" s="10"/>
    </row>
    <row r="107" spans="5:32">
      <c r="E107" s="9"/>
      <c r="I107" s="10"/>
    </row>
    <row r="108" spans="5:32">
      <c r="E108" s="9"/>
      <c r="I108" s="10"/>
    </row>
    <row r="109" spans="5:32">
      <c r="E109" s="9"/>
      <c r="I109" s="10"/>
    </row>
    <row r="110" spans="5:32">
      <c r="E110" s="9"/>
      <c r="I110" s="10"/>
    </row>
    <row r="111" spans="5:32">
      <c r="E111" s="9"/>
      <c r="I111" s="10"/>
    </row>
    <row r="112" spans="5:32">
      <c r="E112" s="9"/>
      <c r="I112" s="10"/>
    </row>
    <row r="113" spans="5:9">
      <c r="E113" s="9"/>
      <c r="I113" s="10"/>
    </row>
    <row r="114" spans="5:9">
      <c r="E114" s="9"/>
      <c r="I114" s="10"/>
    </row>
    <row r="115" spans="5:9">
      <c r="E115" s="9"/>
      <c r="I115" s="10"/>
    </row>
    <row r="116" spans="5:9">
      <c r="E116" s="9"/>
      <c r="I116" s="10"/>
    </row>
    <row r="117" spans="5:9">
      <c r="E117" s="9"/>
      <c r="I117" s="10"/>
    </row>
    <row r="118" spans="5:9">
      <c r="E118" s="9"/>
      <c r="I118" s="10"/>
    </row>
    <row r="119" spans="5:9">
      <c r="E119" s="9"/>
      <c r="I119" s="10"/>
    </row>
    <row r="120" spans="5:9">
      <c r="E120" s="9"/>
      <c r="I120" s="10"/>
    </row>
    <row r="121" spans="5:9">
      <c r="E121" s="9"/>
      <c r="I121" s="10"/>
    </row>
    <row r="122" spans="5:9">
      <c r="E122" s="9"/>
      <c r="I122" s="10"/>
    </row>
    <row r="123" spans="5:9">
      <c r="E123" s="9"/>
      <c r="I123" s="10"/>
    </row>
    <row r="124" spans="5:9">
      <c r="E124" s="9"/>
      <c r="I124" s="10"/>
    </row>
    <row r="125" spans="5:9">
      <c r="E125" s="9"/>
      <c r="I125" s="10"/>
    </row>
    <row r="126" spans="5:9">
      <c r="E126" s="9"/>
      <c r="I126" s="10"/>
    </row>
    <row r="127" spans="5:9">
      <c r="E127" s="9"/>
      <c r="I127" s="10"/>
    </row>
    <row r="128" spans="5:9">
      <c r="E128" s="9"/>
      <c r="I128" s="10"/>
    </row>
    <row r="129" spans="5:9">
      <c r="E129" s="9"/>
      <c r="I129" s="10"/>
    </row>
    <row r="130" spans="5:9">
      <c r="E130" s="9"/>
      <c r="I130" s="10"/>
    </row>
    <row r="131" spans="5:9">
      <c r="E131" s="9"/>
      <c r="I131" s="10"/>
    </row>
    <row r="132" spans="5:9">
      <c r="E132" s="9"/>
      <c r="I132" s="10"/>
    </row>
    <row r="133" spans="5:9">
      <c r="E133" s="9"/>
      <c r="I133" s="10"/>
    </row>
    <row r="134" spans="5:9">
      <c r="E134" s="9"/>
      <c r="I134" s="10"/>
    </row>
    <row r="135" spans="5:9">
      <c r="E135" s="9"/>
      <c r="I135" s="10"/>
    </row>
    <row r="136" spans="5:9">
      <c r="E136" s="9"/>
      <c r="I136" s="10"/>
    </row>
    <row r="137" spans="5:9">
      <c r="E137" s="9"/>
      <c r="I137" s="10"/>
    </row>
    <row r="138" spans="5:9">
      <c r="E138" s="9"/>
      <c r="I138" s="10"/>
    </row>
    <row r="139" spans="5:9">
      <c r="E139" s="9"/>
      <c r="I139" s="10"/>
    </row>
    <row r="140" spans="5:9">
      <c r="E140" s="9"/>
      <c r="I140" s="10"/>
    </row>
    <row r="141" spans="5:9">
      <c r="E141" s="9"/>
      <c r="I141" s="10"/>
    </row>
    <row r="142" spans="5:9">
      <c r="E142" s="9"/>
      <c r="I142" s="10"/>
    </row>
    <row r="143" spans="5:9">
      <c r="E143" s="9"/>
      <c r="I143" s="10"/>
    </row>
    <row r="144" spans="5:9">
      <c r="E144" s="9"/>
      <c r="I144" s="10"/>
    </row>
    <row r="145" spans="5:9">
      <c r="E145" s="9"/>
      <c r="I145" s="10"/>
    </row>
    <row r="146" spans="5:9">
      <c r="E146" s="9"/>
      <c r="I146" s="10"/>
    </row>
    <row r="147" spans="5:9">
      <c r="E147" s="9"/>
      <c r="I147" s="10"/>
    </row>
    <row r="148" spans="5:9">
      <c r="E148" s="9"/>
      <c r="I148" s="10"/>
    </row>
    <row r="149" spans="5:9">
      <c r="E149" s="9"/>
      <c r="I149" s="10"/>
    </row>
    <row r="150" spans="5:9">
      <c r="E150" s="9"/>
      <c r="I150" s="10"/>
    </row>
    <row r="151" spans="5:9">
      <c r="E151" s="9"/>
      <c r="I151" s="10"/>
    </row>
    <row r="152" spans="5:9">
      <c r="E152" s="9"/>
      <c r="I152" s="10"/>
    </row>
    <row r="153" spans="5:9">
      <c r="E153" s="9"/>
      <c r="I153" s="10"/>
    </row>
    <row r="154" spans="5:9">
      <c r="E154" s="9"/>
      <c r="I154" s="10"/>
    </row>
    <row r="155" spans="5:9">
      <c r="E155" s="9"/>
      <c r="I155" s="10"/>
    </row>
    <row r="156" spans="5:9">
      <c r="E156" s="9"/>
      <c r="I156" s="10"/>
    </row>
    <row r="157" spans="5:9">
      <c r="E157" s="9"/>
      <c r="I157" s="10"/>
    </row>
    <row r="158" spans="5:9">
      <c r="E158" s="9"/>
      <c r="I158" s="10"/>
    </row>
    <row r="159" spans="5:9">
      <c r="E159" s="9"/>
      <c r="I159" s="10"/>
    </row>
    <row r="160" spans="5:9">
      <c r="E160" s="9"/>
      <c r="I160" s="10"/>
    </row>
    <row r="161" spans="5:9">
      <c r="E161" s="9"/>
      <c r="I161" s="10"/>
    </row>
    <row r="162" spans="5:9">
      <c r="E162" s="9"/>
      <c r="I162" s="10"/>
    </row>
    <row r="163" spans="5:9">
      <c r="E163" s="9"/>
      <c r="I163" s="10"/>
    </row>
    <row r="164" spans="5:9">
      <c r="E164" s="9"/>
      <c r="I164" s="10"/>
    </row>
    <row r="165" spans="5:9">
      <c r="E165" s="9"/>
      <c r="I165" s="10"/>
    </row>
    <row r="166" spans="5:9">
      <c r="E166" s="9"/>
      <c r="I166" s="10"/>
    </row>
    <row r="167" spans="5:9">
      <c r="E167" s="9"/>
      <c r="I167" s="10"/>
    </row>
    <row r="168" spans="5:9">
      <c r="E168" s="9"/>
      <c r="I168" s="10"/>
    </row>
    <row r="169" spans="5:9">
      <c r="E169" s="9"/>
      <c r="I169" s="10"/>
    </row>
    <row r="170" spans="5:9">
      <c r="E170" s="9"/>
      <c r="I170" s="10"/>
    </row>
    <row r="171" spans="5:9">
      <c r="E171" s="9"/>
      <c r="I171" s="10"/>
    </row>
    <row r="172" spans="5:9">
      <c r="E172" s="9"/>
      <c r="I172" s="10"/>
    </row>
    <row r="173" spans="5:9">
      <c r="E173" s="9"/>
      <c r="I173" s="10"/>
    </row>
    <row r="174" spans="5:9">
      <c r="E174" s="9"/>
      <c r="I174" s="10"/>
    </row>
    <row r="175" spans="5:9">
      <c r="E175" s="9"/>
      <c r="I175" s="10"/>
    </row>
    <row r="176" spans="5:9">
      <c r="E176" s="9"/>
      <c r="I176" s="10"/>
    </row>
    <row r="177" spans="5:9">
      <c r="E177" s="9"/>
      <c r="I177" s="10"/>
    </row>
    <row r="178" spans="5:9">
      <c r="E178" s="9"/>
      <c r="I178" s="10"/>
    </row>
    <row r="179" spans="5:9">
      <c r="E179" s="9"/>
      <c r="I179" s="10"/>
    </row>
    <row r="180" spans="5:9">
      <c r="E180" s="9"/>
      <c r="I180" s="10"/>
    </row>
    <row r="181" spans="5:9">
      <c r="E181" s="9"/>
      <c r="I181" s="10"/>
    </row>
    <row r="182" spans="5:9">
      <c r="E182" s="9"/>
      <c r="I182" s="10"/>
    </row>
    <row r="183" spans="5:9">
      <c r="E183" s="9"/>
      <c r="I183" s="10"/>
    </row>
    <row r="184" spans="5:9">
      <c r="E184" s="9"/>
      <c r="I184" s="10"/>
    </row>
    <row r="185" spans="5:9">
      <c r="E185" s="9"/>
      <c r="I185" s="10"/>
    </row>
    <row r="186" spans="5:9">
      <c r="E186" s="9"/>
      <c r="I186" s="10"/>
    </row>
    <row r="187" spans="5:9">
      <c r="E187" s="9"/>
      <c r="I187" s="10"/>
    </row>
    <row r="188" spans="5:9">
      <c r="E188" s="9"/>
      <c r="I188" s="10"/>
    </row>
    <row r="189" spans="5:9">
      <c r="E189" s="9"/>
      <c r="I189" s="10"/>
    </row>
    <row r="190" spans="5:9">
      <c r="E190" s="9"/>
      <c r="I190" s="10"/>
    </row>
    <row r="191" spans="5:9">
      <c r="E191" s="9"/>
      <c r="I191" s="10"/>
    </row>
    <row r="192" spans="5:9">
      <c r="E192" s="9"/>
      <c r="I192" s="10"/>
    </row>
    <row r="193" spans="5:9">
      <c r="E193" s="9"/>
      <c r="I193" s="10"/>
    </row>
    <row r="194" spans="5:9">
      <c r="E194" s="9"/>
      <c r="I194" s="10"/>
    </row>
    <row r="195" spans="5:9">
      <c r="E195" s="9"/>
      <c r="I195" s="10"/>
    </row>
    <row r="196" spans="5:9">
      <c r="E196" s="9"/>
      <c r="I196" s="10"/>
    </row>
    <row r="197" spans="5:9">
      <c r="E197" s="9"/>
      <c r="I197" s="10"/>
    </row>
    <row r="198" spans="5:9">
      <c r="E198" s="9"/>
      <c r="I198" s="10"/>
    </row>
    <row r="199" spans="5:9">
      <c r="E199" s="9"/>
      <c r="I199" s="10"/>
    </row>
    <row r="200" spans="5:9">
      <c r="E200" s="9"/>
      <c r="I200" s="10"/>
    </row>
    <row r="201" spans="5:9">
      <c r="E201" s="9"/>
      <c r="I201" s="10"/>
    </row>
    <row r="202" spans="5:9">
      <c r="E202" s="9"/>
      <c r="I202" s="10"/>
    </row>
    <row r="203" spans="5:9">
      <c r="E203" s="9"/>
      <c r="I203" s="10"/>
    </row>
    <row r="204" spans="5:9">
      <c r="E204" s="9"/>
      <c r="I204" s="10"/>
    </row>
    <row r="205" spans="5:9">
      <c r="E205" s="9"/>
      <c r="I205" s="10"/>
    </row>
    <row r="206" spans="5:9">
      <c r="E206" s="9"/>
      <c r="I206" s="10"/>
    </row>
    <row r="207" spans="5:9">
      <c r="E207" s="9"/>
      <c r="I207" s="10"/>
    </row>
    <row r="208" spans="5:9">
      <c r="E208" s="9"/>
      <c r="I208" s="10"/>
    </row>
    <row r="209" spans="5:9">
      <c r="E209" s="9"/>
      <c r="I209" s="10"/>
    </row>
    <row r="210" spans="5:9">
      <c r="E210" s="9"/>
      <c r="I210" s="10"/>
    </row>
    <row r="211" spans="5:9">
      <c r="E211" s="9"/>
      <c r="I211" s="10"/>
    </row>
    <row r="212" spans="5:9">
      <c r="E212" s="9"/>
      <c r="I212" s="10"/>
    </row>
    <row r="213" spans="5:9">
      <c r="E213" s="9"/>
      <c r="I213" s="10"/>
    </row>
    <row r="214" spans="5:9">
      <c r="E214" s="9"/>
      <c r="I214" s="10"/>
    </row>
    <row r="215" spans="5:9">
      <c r="E215" s="9"/>
      <c r="I215" s="10"/>
    </row>
    <row r="216" spans="5:9">
      <c r="E216" s="9"/>
      <c r="I216" s="10"/>
    </row>
    <row r="217" spans="5:9">
      <c r="E217" s="9"/>
      <c r="I217" s="10"/>
    </row>
    <row r="218" spans="5:9">
      <c r="E218" s="9"/>
      <c r="I218" s="10"/>
    </row>
    <row r="219" spans="5:9">
      <c r="E219" s="9"/>
      <c r="I219" s="10"/>
    </row>
    <row r="220" spans="5:9">
      <c r="E220" s="9"/>
      <c r="I220" s="10"/>
    </row>
    <row r="221" spans="5:9">
      <c r="E221" s="9"/>
      <c r="I221" s="10"/>
    </row>
    <row r="222" spans="5:9">
      <c r="E222" s="9"/>
      <c r="I222" s="10"/>
    </row>
    <row r="223" spans="5:9">
      <c r="E223" s="9"/>
      <c r="I223" s="10"/>
    </row>
    <row r="224" spans="5:9">
      <c r="E224" s="9"/>
      <c r="I224" s="10"/>
    </row>
    <row r="225" spans="5:9">
      <c r="E225" s="9"/>
      <c r="I225" s="10"/>
    </row>
    <row r="226" spans="5:9">
      <c r="E226" s="9"/>
      <c r="I226" s="10"/>
    </row>
    <row r="227" spans="5:9">
      <c r="E227" s="9"/>
      <c r="I227" s="10"/>
    </row>
    <row r="228" spans="5:9">
      <c r="E228" s="9"/>
      <c r="I228" s="10"/>
    </row>
    <row r="229" spans="5:9">
      <c r="E229" s="9"/>
      <c r="I229" s="10"/>
    </row>
    <row r="230" spans="5:9">
      <c r="E230" s="9"/>
      <c r="I230" s="10"/>
    </row>
    <row r="231" spans="5:9">
      <c r="E231" s="9"/>
      <c r="I231" s="10"/>
    </row>
    <row r="232" spans="5:9">
      <c r="E232" s="9"/>
      <c r="I232" s="10"/>
    </row>
    <row r="233" spans="5:9">
      <c r="E233" s="9"/>
      <c r="I233" s="10"/>
    </row>
    <row r="234" spans="5:9">
      <c r="E234" s="9"/>
      <c r="I234" s="10"/>
    </row>
    <row r="235" spans="5:9">
      <c r="E235" s="9"/>
      <c r="I235" s="10"/>
    </row>
    <row r="236" spans="5:9">
      <c r="E236" s="9"/>
      <c r="I236" s="10"/>
    </row>
    <row r="237" spans="5:9">
      <c r="E237" s="9"/>
      <c r="I237" s="10"/>
    </row>
    <row r="238" spans="5:9">
      <c r="E238" s="9"/>
      <c r="I238" s="10"/>
    </row>
    <row r="239" spans="5:9">
      <c r="E239" s="9"/>
      <c r="I239" s="10"/>
    </row>
    <row r="240" spans="5:9">
      <c r="E240" s="9"/>
      <c r="I240" s="10"/>
    </row>
    <row r="241" spans="5:9">
      <c r="E241" s="9"/>
      <c r="I241" s="10"/>
    </row>
    <row r="242" spans="5:9">
      <c r="E242" s="9"/>
      <c r="I242" s="10"/>
    </row>
    <row r="243" spans="5:9">
      <c r="E243" s="9"/>
      <c r="I243" s="10"/>
    </row>
    <row r="244" spans="5:9">
      <c r="E244" s="9"/>
      <c r="I244" s="10"/>
    </row>
    <row r="245" spans="5:9">
      <c r="E245" s="9"/>
      <c r="I245" s="10"/>
    </row>
    <row r="246" spans="5:9">
      <c r="E246" s="9"/>
      <c r="I246" s="10"/>
    </row>
    <row r="247" spans="5:9">
      <c r="E247" s="9"/>
      <c r="I247" s="10"/>
    </row>
    <row r="248" spans="5:9">
      <c r="E248" s="9"/>
      <c r="I248" s="10"/>
    </row>
    <row r="249" spans="5:9">
      <c r="E249" s="9"/>
      <c r="I249" s="10"/>
    </row>
    <row r="250" spans="5:9">
      <c r="E250" s="9"/>
      <c r="I250" s="10"/>
    </row>
    <row r="251" spans="5:9">
      <c r="E251" s="9"/>
      <c r="I251" s="10"/>
    </row>
    <row r="252" spans="5:9">
      <c r="E252" s="9"/>
      <c r="I252" s="10"/>
    </row>
    <row r="253" spans="5:9">
      <c r="E253" s="9"/>
      <c r="I253" s="10"/>
    </row>
    <row r="254" spans="5:9">
      <c r="E254" s="9"/>
      <c r="I254" s="10"/>
    </row>
    <row r="255" spans="5:9">
      <c r="E255" s="9"/>
      <c r="I255" s="10"/>
    </row>
    <row r="256" spans="5:9">
      <c r="E256" s="9"/>
      <c r="I256" s="10"/>
    </row>
    <row r="257" spans="5:9">
      <c r="E257" s="9"/>
      <c r="I257" s="10"/>
    </row>
    <row r="258" spans="5:9">
      <c r="E258" s="9"/>
      <c r="I258" s="10"/>
    </row>
    <row r="259" spans="5:9">
      <c r="E259" s="9"/>
      <c r="I259" s="10"/>
    </row>
    <row r="260" spans="5:9">
      <c r="E260" s="9"/>
      <c r="I260" s="10"/>
    </row>
    <row r="261" spans="5:9">
      <c r="E261" s="9"/>
      <c r="I261" s="10"/>
    </row>
    <row r="262" spans="5:9">
      <c r="E262" s="9"/>
      <c r="I262" s="10"/>
    </row>
    <row r="263" spans="5:9">
      <c r="E263" s="9"/>
      <c r="I263" s="10"/>
    </row>
    <row r="264" spans="5:9">
      <c r="E264" s="9"/>
      <c r="I264" s="10"/>
    </row>
    <row r="265" spans="5:9">
      <c r="E265" s="9"/>
      <c r="I265" s="10"/>
    </row>
    <row r="266" spans="5:9">
      <c r="E266" s="9"/>
      <c r="I266" s="10"/>
    </row>
    <row r="267" spans="5:9">
      <c r="E267" s="9"/>
      <c r="I267" s="10"/>
    </row>
    <row r="268" spans="5:9">
      <c r="E268" s="9"/>
      <c r="I268" s="10"/>
    </row>
    <row r="269" spans="5:9">
      <c r="E269" s="9"/>
      <c r="I269" s="10"/>
    </row>
    <row r="270" spans="5:9">
      <c r="E270" s="9"/>
      <c r="I270" s="10"/>
    </row>
    <row r="271" spans="5:9">
      <c r="E271" s="9"/>
      <c r="I271" s="10"/>
    </row>
    <row r="272" spans="5:9">
      <c r="E272" s="9"/>
      <c r="I272" s="10"/>
    </row>
    <row r="273" spans="5:9">
      <c r="E273" s="9"/>
      <c r="I273" s="10"/>
    </row>
    <row r="274" spans="5:9">
      <c r="E274" s="9"/>
      <c r="I274" s="10"/>
    </row>
    <row r="275" spans="5:9">
      <c r="E275" s="9"/>
      <c r="I275" s="10"/>
    </row>
    <row r="276" spans="5:9">
      <c r="E276" s="9"/>
      <c r="I276" s="10"/>
    </row>
    <row r="277" spans="5:9">
      <c r="E277" s="9"/>
      <c r="I277" s="10"/>
    </row>
    <row r="278" spans="5:9">
      <c r="E278" s="9"/>
      <c r="I278" s="10"/>
    </row>
    <row r="279" spans="5:9">
      <c r="E279" s="9"/>
      <c r="I279" s="10"/>
    </row>
    <row r="280" spans="5:9">
      <c r="E280" s="9"/>
      <c r="I280" s="10"/>
    </row>
    <row r="281" spans="5:9">
      <c r="E281" s="9"/>
      <c r="I281" s="10"/>
    </row>
    <row r="282" spans="5:9">
      <c r="E282" s="9"/>
      <c r="I282" s="10"/>
    </row>
    <row r="283" spans="5:9">
      <c r="E283" s="9"/>
      <c r="I283" s="10"/>
    </row>
    <row r="284" spans="5:9">
      <c r="E284" s="9"/>
      <c r="I284" s="10"/>
    </row>
    <row r="285" spans="5:9">
      <c r="E285" s="9"/>
      <c r="I285" s="10"/>
    </row>
    <row r="286" spans="5:9">
      <c r="E286" s="9"/>
      <c r="I286" s="10"/>
    </row>
    <row r="287" spans="5:9">
      <c r="E287" s="9"/>
      <c r="I287" s="10"/>
    </row>
    <row r="288" spans="5:9">
      <c r="E288" s="9"/>
      <c r="I288" s="10"/>
    </row>
    <row r="289" spans="5:9">
      <c r="E289" s="9"/>
      <c r="I289" s="10"/>
    </row>
    <row r="290" spans="5:9">
      <c r="E290" s="9"/>
      <c r="I290" s="10"/>
    </row>
    <row r="291" spans="5:9">
      <c r="E291" s="9"/>
      <c r="I291" s="10"/>
    </row>
    <row r="292" spans="5:9">
      <c r="E292" s="9"/>
      <c r="I292" s="10"/>
    </row>
    <row r="293" spans="5:9">
      <c r="E293" s="9"/>
      <c r="I293" s="10"/>
    </row>
    <row r="294" spans="5:9">
      <c r="E294" s="9"/>
      <c r="I294" s="10"/>
    </row>
    <row r="295" spans="5:9">
      <c r="E295" s="9"/>
      <c r="I295" s="10"/>
    </row>
    <row r="296" spans="5:9">
      <c r="E296" s="9"/>
      <c r="I296" s="10"/>
    </row>
    <row r="297" spans="5:9">
      <c r="E297" s="9"/>
      <c r="I297" s="10"/>
    </row>
    <row r="298" spans="5:9">
      <c r="E298" s="9"/>
      <c r="I298" s="10"/>
    </row>
    <row r="299" spans="5:9">
      <c r="E299" s="9"/>
      <c r="I299" s="10"/>
    </row>
    <row r="300" spans="5:9">
      <c r="E300" s="9"/>
      <c r="I300" s="10"/>
    </row>
    <row r="301" spans="5:9">
      <c r="E301" s="9"/>
      <c r="I301" s="10"/>
    </row>
    <row r="302" spans="5:9">
      <c r="E302" s="9"/>
      <c r="I302" s="10"/>
    </row>
    <row r="303" spans="5:9">
      <c r="E303" s="9"/>
      <c r="I303" s="10"/>
    </row>
    <row r="304" spans="5:9">
      <c r="E304" s="9"/>
      <c r="I304" s="10"/>
    </row>
    <row r="305" spans="5:9">
      <c r="E305" s="9"/>
      <c r="I305" s="10"/>
    </row>
    <row r="306" spans="5:9">
      <c r="E306" s="9"/>
      <c r="I306" s="10"/>
    </row>
    <row r="307" spans="5:9">
      <c r="E307" s="9"/>
      <c r="I307" s="10"/>
    </row>
    <row r="308" spans="5:9">
      <c r="E308" s="9"/>
      <c r="I308" s="10"/>
    </row>
    <row r="309" spans="5:9">
      <c r="E309" s="9"/>
      <c r="I309" s="10"/>
    </row>
    <row r="310" spans="5:9">
      <c r="E310" s="9"/>
      <c r="I310" s="10"/>
    </row>
    <row r="311" spans="5:9">
      <c r="E311" s="9"/>
      <c r="I311" s="10"/>
    </row>
    <row r="312" spans="5:9">
      <c r="E312" s="9"/>
      <c r="I312" s="10"/>
    </row>
    <row r="313" spans="5:9">
      <c r="E313" s="9"/>
      <c r="I313" s="10"/>
    </row>
    <row r="314" spans="5:9">
      <c r="E314" s="9"/>
      <c r="I314" s="10"/>
    </row>
    <row r="315" spans="5:9">
      <c r="E315" s="9"/>
      <c r="I315" s="10"/>
    </row>
    <row r="316" spans="5:9">
      <c r="E316" s="9"/>
      <c r="I316" s="10"/>
    </row>
    <row r="317" spans="5:9">
      <c r="E317" s="9"/>
      <c r="I317" s="10"/>
    </row>
    <row r="318" spans="5:9">
      <c r="E318" s="9"/>
      <c r="I318" s="10"/>
    </row>
    <row r="319" spans="5:9">
      <c r="E319" s="9"/>
      <c r="I319" s="10"/>
    </row>
    <row r="320" spans="5:9">
      <c r="E320" s="9"/>
      <c r="I320" s="10"/>
    </row>
    <row r="321" spans="5:9">
      <c r="E321" s="9"/>
      <c r="I321" s="10"/>
    </row>
    <row r="322" spans="5:9">
      <c r="E322" s="9"/>
      <c r="I322" s="10"/>
    </row>
    <row r="323" spans="5:9">
      <c r="E323" s="9"/>
      <c r="I323" s="10"/>
    </row>
    <row r="324" spans="5:9">
      <c r="E324" s="9"/>
      <c r="I324" s="10"/>
    </row>
    <row r="325" spans="5:9">
      <c r="E325" s="9"/>
      <c r="I325" s="10"/>
    </row>
    <row r="326" spans="5:9">
      <c r="E326" s="9"/>
      <c r="I326" s="10"/>
    </row>
    <row r="327" spans="5:9">
      <c r="E327" s="9"/>
      <c r="I327" s="10"/>
    </row>
    <row r="328" spans="5:9">
      <c r="E328" s="9"/>
      <c r="I328" s="10"/>
    </row>
    <row r="329" spans="5:9">
      <c r="E329" s="9"/>
      <c r="I329" s="10"/>
    </row>
    <row r="330" spans="5:9">
      <c r="E330" s="9"/>
      <c r="I330" s="10"/>
    </row>
    <row r="331" spans="5:9">
      <c r="E331" s="9"/>
      <c r="I331" s="10"/>
    </row>
    <row r="332" spans="5:9">
      <c r="E332" s="9"/>
      <c r="I332" s="10"/>
    </row>
    <row r="333" spans="5:9">
      <c r="E333" s="9"/>
      <c r="I333" s="10"/>
    </row>
    <row r="334" spans="5:9">
      <c r="E334" s="9"/>
      <c r="I334" s="10"/>
    </row>
    <row r="335" spans="5:9">
      <c r="E335" s="9"/>
      <c r="I335" s="10"/>
    </row>
    <row r="336" spans="5:9">
      <c r="E336" s="9"/>
      <c r="I336" s="10"/>
    </row>
    <row r="337" spans="5:9">
      <c r="E337" s="9"/>
      <c r="I337" s="10"/>
    </row>
    <row r="338" spans="5:9">
      <c r="E338" s="9"/>
      <c r="I338" s="10"/>
    </row>
    <row r="339" spans="5:9">
      <c r="E339" s="9"/>
      <c r="I339" s="10"/>
    </row>
    <row r="340" spans="5:9">
      <c r="E340" s="9"/>
      <c r="I340" s="10"/>
    </row>
    <row r="341" spans="5:9">
      <c r="E341" s="9"/>
      <c r="I341" s="10"/>
    </row>
    <row r="342" spans="5:9">
      <c r="E342" s="9"/>
      <c r="I342" s="10"/>
    </row>
    <row r="343" spans="5:9">
      <c r="E343" s="9"/>
      <c r="I343" s="10"/>
    </row>
    <row r="344" spans="5:9">
      <c r="E344" s="9"/>
      <c r="I344" s="10"/>
    </row>
    <row r="345" spans="5:9">
      <c r="E345" s="9"/>
      <c r="I345" s="10"/>
    </row>
    <row r="346" spans="5:9">
      <c r="E346" s="9"/>
      <c r="I346" s="10"/>
    </row>
    <row r="347" spans="5:9">
      <c r="E347" s="9"/>
      <c r="I347" s="10"/>
    </row>
    <row r="348" spans="5:9">
      <c r="E348" s="9"/>
      <c r="I348" s="10"/>
    </row>
    <row r="349" spans="5:9">
      <c r="E349" s="9"/>
      <c r="I349" s="10"/>
    </row>
    <row r="350" spans="5:9">
      <c r="E350" s="9"/>
      <c r="I350" s="10"/>
    </row>
    <row r="351" spans="5:9">
      <c r="E351" s="9"/>
      <c r="I351" s="10"/>
    </row>
    <row r="352" spans="5:9">
      <c r="E352" s="9"/>
      <c r="I352" s="10"/>
    </row>
    <row r="353" spans="5:9">
      <c r="E353" s="9"/>
      <c r="I353" s="10"/>
    </row>
    <row r="354" spans="5:9">
      <c r="E354" s="9"/>
      <c r="I354" s="10"/>
    </row>
    <row r="355" spans="5:9">
      <c r="E355" s="9"/>
      <c r="I355" s="10"/>
    </row>
    <row r="356" spans="5:9">
      <c r="E356" s="9"/>
      <c r="I356" s="10"/>
    </row>
    <row r="357" spans="5:9">
      <c r="E357" s="9"/>
      <c r="I357" s="10"/>
    </row>
    <row r="358" spans="5:9">
      <c r="E358" s="9"/>
      <c r="I358" s="10"/>
    </row>
    <row r="359" spans="5:9">
      <c r="E359" s="9"/>
      <c r="I359" s="10"/>
    </row>
    <row r="360" spans="5:9">
      <c r="E360" s="9"/>
      <c r="I360" s="10"/>
    </row>
    <row r="361" spans="5:9">
      <c r="E361" s="9"/>
      <c r="I361" s="10"/>
    </row>
    <row r="362" spans="5:9">
      <c r="E362" s="9"/>
      <c r="I362" s="10"/>
    </row>
    <row r="363" spans="5:9">
      <c r="E363" s="9"/>
      <c r="I363" s="10"/>
    </row>
    <row r="364" spans="5:9">
      <c r="E364" s="9"/>
      <c r="I364" s="10"/>
    </row>
    <row r="365" spans="5:9">
      <c r="E365" s="9"/>
      <c r="I365" s="10"/>
    </row>
    <row r="366" spans="5:9">
      <c r="E366" s="9"/>
      <c r="I366" s="10"/>
    </row>
  </sheetData>
  <mergeCells count="5">
    <mergeCell ref="M105:AA105"/>
    <mergeCell ref="A1:C1"/>
    <mergeCell ref="E1:K1"/>
    <mergeCell ref="R1:V1"/>
    <mergeCell ref="X1:AB1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29C844-0749-4E9E-922E-6E23B21244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Work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 Amin Siam</dc:creator>
  <cp:lastModifiedBy>Mohammad Al Amin Siam</cp:lastModifiedBy>
  <dcterms:created xsi:type="dcterms:W3CDTF">2026-05-14T06:52:10Z</dcterms:created>
  <dcterms:modified xsi:type="dcterms:W3CDTF">2026-05-15T09:44:53Z</dcterms:modified>
</cp:coreProperties>
</file>